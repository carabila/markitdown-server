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Y:\Progetti attivi\La Mercurio\3 - Bilancio 2024\1 - Ripresa Attività - I semestre 2024\3 - Incontro 09_2024\"/>
    </mc:Choice>
  </mc:AlternateContent>
  <xr:revisionPtr revIDLastSave="0" documentId="13_ncr:1_{B3459B4D-5F09-4F4C-84AD-5EF44ECBE3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cqua - 5 mesi 23 vs 5 mesi 24" sheetId="2" r:id="rId1"/>
    <sheet name="Consumi Carta 23 vs 24" sheetId="4" r:id="rId2"/>
    <sheet name="Consumo energia 23 vs 24" sheetId="8" r:id="rId3"/>
    <sheet name="Consumo carburante 23 vs 24" sheetId="7" r:id="rId4"/>
    <sheet name="Calcolo per scope 2" sheetId="9" r:id="rId5"/>
    <sheet name="Scope 2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8" l="1"/>
  <c r="N4" i="8"/>
  <c r="N5" i="8"/>
  <c r="N6" i="8"/>
  <c r="N7" i="8"/>
  <c r="N2" i="8"/>
  <c r="H5" i="4"/>
  <c r="E3" i="4"/>
  <c r="H3" i="4"/>
  <c r="B10" i="7"/>
  <c r="D30" i="7"/>
  <c r="C30" i="7"/>
  <c r="B30" i="7"/>
  <c r="D29" i="7"/>
  <c r="D28" i="7"/>
  <c r="B29" i="7"/>
  <c r="B28" i="7"/>
  <c r="C4" i="8"/>
  <c r="C5" i="8"/>
  <c r="C6" i="8"/>
  <c r="C7" i="8"/>
  <c r="R6" i="2"/>
  <c r="R7" i="2"/>
  <c r="R5" i="2"/>
  <c r="Q6" i="2"/>
  <c r="Q7" i="2"/>
  <c r="Q5" i="2"/>
  <c r="N6" i="2"/>
  <c r="N7" i="2"/>
  <c r="N5" i="2"/>
  <c r="J4" i="2"/>
  <c r="J7" i="2"/>
  <c r="K7" i="2" s="1"/>
  <c r="O7" i="2" s="1"/>
  <c r="J6" i="2"/>
  <c r="K6" i="2" s="1"/>
  <c r="O6" i="2" s="1"/>
  <c r="J5" i="2"/>
  <c r="K5" i="2" s="1"/>
  <c r="O5" i="2" s="1"/>
  <c r="B17" i="7"/>
  <c r="B16" i="7"/>
  <c r="M7" i="8"/>
  <c r="M6" i="8"/>
  <c r="F3" i="9" s="1"/>
  <c r="F4" i="9" s="1"/>
  <c r="U4" i="9" s="1"/>
  <c r="K6" i="8"/>
  <c r="L7" i="9"/>
  <c r="U11" i="9" s="1"/>
  <c r="U18" i="9" s="1"/>
  <c r="D4" i="9"/>
  <c r="D8" i="9" s="1"/>
  <c r="U3" i="9" s="1"/>
  <c r="O17" i="9"/>
  <c r="O4" i="9" s="1"/>
  <c r="U7" i="9" s="1"/>
  <c r="M17" i="9"/>
  <c r="K17" i="9"/>
  <c r="U14" i="9"/>
  <c r="U13" i="9"/>
  <c r="U12" i="9"/>
  <c r="U9" i="9"/>
  <c r="U8" i="9"/>
  <c r="E4" i="9"/>
  <c r="E8" i="9" s="1"/>
  <c r="X10" i="7" l="1"/>
  <c r="X17" i="7"/>
  <c r="X19" i="7" s="1"/>
  <c r="X15" i="7"/>
  <c r="X14" i="7"/>
  <c r="X13" i="7"/>
  <c r="X12" i="7"/>
  <c r="X11" i="7"/>
  <c r="X9" i="7"/>
  <c r="V9" i="7"/>
  <c r="W9" i="7" s="1"/>
  <c r="D4" i="7" l="1"/>
  <c r="X18" i="7"/>
  <c r="P19" i="7"/>
  <c r="L5" i="7" s="1"/>
  <c r="S5" i="7" s="1"/>
  <c r="P18" i="7"/>
  <c r="L4" i="7" s="1"/>
  <c r="S4" i="7" s="1"/>
  <c r="O17" i="7"/>
  <c r="O19" i="7" s="1"/>
  <c r="O16" i="7"/>
  <c r="O15" i="7"/>
  <c r="O14" i="7"/>
  <c r="O13" i="7"/>
  <c r="O12" i="7"/>
  <c r="O11" i="7"/>
  <c r="O10" i="7"/>
  <c r="O9" i="7"/>
  <c r="P2" i="8"/>
  <c r="K7" i="8"/>
  <c r="J3" i="8"/>
  <c r="D3" i="8" s="1"/>
  <c r="E3" i="8" s="1"/>
  <c r="J7" i="8"/>
  <c r="D7" i="8" s="1"/>
  <c r="E7" i="8" s="1"/>
  <c r="J6" i="8"/>
  <c r="D6" i="8" s="1"/>
  <c r="E6" i="8" s="1"/>
  <c r="J5" i="8"/>
  <c r="D5" i="8" s="1"/>
  <c r="K5" i="8"/>
  <c r="K4" i="8"/>
  <c r="J4" i="8"/>
  <c r="D4" i="8" s="1"/>
  <c r="J2" i="8"/>
  <c r="D2" i="8" s="1"/>
  <c r="E2" i="8" s="1"/>
  <c r="V13" i="7"/>
  <c r="W13" i="7" s="1"/>
  <c r="V17" i="7"/>
  <c r="W17" i="7" s="1"/>
  <c r="W19" i="7" s="1"/>
  <c r="V16" i="7"/>
  <c r="W16" i="7" s="1"/>
  <c r="V15" i="7"/>
  <c r="W15" i="7" s="1"/>
  <c r="V14" i="7"/>
  <c r="W14" i="7" s="1"/>
  <c r="V12" i="7"/>
  <c r="W12" i="7" s="1"/>
  <c r="V11" i="7"/>
  <c r="W11" i="7" s="1"/>
  <c r="V10" i="7"/>
  <c r="W10" i="7" s="1"/>
  <c r="S3" i="7"/>
  <c r="D3" i="7" s="1"/>
  <c r="W18" i="7" l="1"/>
  <c r="E5" i="8"/>
  <c r="E4" i="8"/>
  <c r="F7" i="8"/>
  <c r="F4" i="8"/>
  <c r="O6" i="8"/>
  <c r="I3" i="9"/>
  <c r="P6" i="8"/>
  <c r="L5" i="9"/>
  <c r="L9" i="9" s="1"/>
  <c r="F5" i="8"/>
  <c r="O18" i="7"/>
  <c r="F2" i="8"/>
  <c r="F3" i="8"/>
  <c r="F6" i="8" l="1"/>
  <c r="Q6" i="8"/>
  <c r="K3" i="10"/>
  <c r="I4" i="9"/>
  <c r="U6" i="9" s="1"/>
  <c r="U16" i="9" s="1"/>
  <c r="O2" i="8"/>
  <c r="O3" i="10" l="1"/>
  <c r="D3" i="10" s="1"/>
  <c r="P3" i="10"/>
  <c r="I3" i="4"/>
  <c r="D24" i="4"/>
  <c r="D23" i="4"/>
  <c r="D22" i="4"/>
  <c r="D21" i="4"/>
  <c r="D20" i="4"/>
  <c r="D19" i="4"/>
  <c r="D18" i="4"/>
  <c r="D13" i="4"/>
  <c r="D12" i="4"/>
  <c r="D11" i="4"/>
  <c r="D10" i="4"/>
  <c r="D9" i="4"/>
  <c r="D8" i="4"/>
  <c r="D7" i="4"/>
  <c r="D6" i="4"/>
  <c r="D5" i="4"/>
  <c r="D4" i="4"/>
  <c r="D3" i="4"/>
  <c r="D4" i="10" l="1"/>
  <c r="D14" i="4"/>
  <c r="E10" i="2"/>
  <c r="E4" i="2"/>
  <c r="C10" i="2"/>
  <c r="A10" i="2"/>
  <c r="C4" i="2"/>
  <c r="A4" i="2"/>
  <c r="E5" i="7"/>
  <c r="E3" i="7"/>
  <c r="B9" i="7"/>
  <c r="D5" i="7"/>
  <c r="E4" i="7"/>
</calcChain>
</file>

<file path=xl/sharedStrings.xml><?xml version="1.0" encoding="utf-8"?>
<sst xmlns="http://schemas.openxmlformats.org/spreadsheetml/2006/main" count="411" uniqueCount="202">
  <si>
    <t>Volume acqua prelevata</t>
  </si>
  <si>
    <t>Volume acqua scaricata</t>
  </si>
  <si>
    <t>mc</t>
  </si>
  <si>
    <t>Mlitri</t>
  </si>
  <si>
    <t>Intensità</t>
  </si>
  <si>
    <t>Dipendenti</t>
  </si>
  <si>
    <t>01/01/2023 - 31/05/2023</t>
  </si>
  <si>
    <t>01/01/2024 - 31/05/2024 - Stimato</t>
  </si>
  <si>
    <t>Fonti</t>
  </si>
  <si>
    <t>Consumo Carta 01-01-2024 / 30-06-2024</t>
  </si>
  <si>
    <t>Tipologia</t>
  </si>
  <si>
    <t>Rotoli</t>
  </si>
  <si>
    <t>Risma</t>
  </si>
  <si>
    <t>Peso unitario</t>
  </si>
  <si>
    <t>Peso Totale Kg</t>
  </si>
  <si>
    <t>Consumo Carta 2023</t>
  </si>
  <si>
    <t>Quantità</t>
  </si>
  <si>
    <t>Peso unitario Kg</t>
  </si>
  <si>
    <t>Asciugamanti piegati in carta riciclata</t>
  </si>
  <si>
    <t>Tot Parziale (escludendo asciugamenti e carta ig.)</t>
  </si>
  <si>
    <t>Carta ig. in carta riciclata</t>
  </si>
  <si>
    <t>Totale</t>
  </si>
  <si>
    <t>Rotoli (carta plotter)</t>
  </si>
  <si>
    <t>Risma (carta a4)</t>
  </si>
  <si>
    <t>Risma (carta a4 riciclata)</t>
  </si>
  <si>
    <t>Consumo 6 mesi 2024 (solo carta per stampanti)</t>
  </si>
  <si>
    <t>Consumo 6 mesi 2023 (solo carta per stampanti)</t>
  </si>
  <si>
    <t>Consumi carburanti auto</t>
  </si>
  <si>
    <t>Forniture Energia Elettrica</t>
  </si>
  <si>
    <t>Consumi gas metano</t>
  </si>
  <si>
    <t>MWh</t>
  </si>
  <si>
    <t>Energia elettrica acquistata</t>
  </si>
  <si>
    <t>Energia elettrica autoprodotta</t>
  </si>
  <si>
    <t>Energia termica acquistata</t>
  </si>
  <si>
    <t>Energia totale</t>
  </si>
  <si>
    <t>Auto</t>
  </si>
  <si>
    <t>Tipo</t>
  </si>
  <si>
    <t>Litri</t>
  </si>
  <si>
    <t>Tot Gasolio</t>
  </si>
  <si>
    <t>Tot Benzina</t>
  </si>
  <si>
    <t>Esportata</t>
  </si>
  <si>
    <t>Riscaldamento</t>
  </si>
  <si>
    <t>Consumo di combustibili</t>
  </si>
  <si>
    <t>2023 - Q1</t>
  </si>
  <si>
    <t>Gasolio</t>
  </si>
  <si>
    <t>litri</t>
  </si>
  <si>
    <t>kWh</t>
  </si>
  <si>
    <t>Smc</t>
  </si>
  <si>
    <t>Non rinnovabili</t>
  </si>
  <si>
    <t>MJ</t>
  </si>
  <si>
    <t>2023 - Q2</t>
  </si>
  <si>
    <t>Autoconsumo</t>
  </si>
  <si>
    <t>Rinnovabili</t>
  </si>
  <si>
    <t>2023 - Q3</t>
  </si>
  <si>
    <t>km</t>
  </si>
  <si>
    <t xml:space="preserve">Consumo di energia </t>
  </si>
  <si>
    <t>2023 - Q4</t>
  </si>
  <si>
    <t>Energia elettrica</t>
  </si>
  <si>
    <t>2024 - Q1</t>
  </si>
  <si>
    <t>Energia di riscaldamento</t>
  </si>
  <si>
    <t>Energia di raffreddamento</t>
  </si>
  <si>
    <t>Vapore</t>
  </si>
  <si>
    <t xml:space="preserve">Vendita di energia </t>
  </si>
  <si>
    <t>Benzina</t>
  </si>
  <si>
    <t>kg to kcal</t>
  </si>
  <si>
    <t>Potere calorifico - ENEA - Dipartimento Unità per l'efficienza energetica</t>
  </si>
  <si>
    <t>kg to lit</t>
  </si>
  <si>
    <t>https://www.ingdemurtas.it/tabelle/potere-calorifico/</t>
  </si>
  <si>
    <t>kcal to kWh</t>
  </si>
  <si>
    <t>kWh to MJ</t>
  </si>
  <si>
    <t>lit to kWh</t>
  </si>
  <si>
    <t>Smc to MWh</t>
  </si>
  <si>
    <t>Combustibile</t>
  </si>
  <si>
    <t>Densitá [kg/litro]</t>
  </si>
  <si>
    <t>Gas metano</t>
  </si>
  <si>
    <t>Consumo totale di energia interno</t>
  </si>
  <si>
    <t>kg</t>
  </si>
  <si>
    <t>kcal</t>
  </si>
  <si>
    <t>lit</t>
  </si>
  <si>
    <t>Energia totale consumata</t>
  </si>
  <si>
    <t>Consumo totale di energia esterno</t>
  </si>
  <si>
    <t>Energia totale venduta</t>
  </si>
  <si>
    <t>Intensità energetica interna</t>
  </si>
  <si>
    <t>Intensità energetica</t>
  </si>
  <si>
    <t>MWh/MEuro</t>
  </si>
  <si>
    <t>Denominatore: Fatturato</t>
  </si>
  <si>
    <t>MEuro</t>
  </si>
  <si>
    <t>Riduzioni - dall'anno prossimo</t>
  </si>
  <si>
    <t>N/A</t>
  </si>
  <si>
    <t>Riduzioni requisiti energetici prodotti e servizi - dal prossimo futuro</t>
  </si>
  <si>
    <t>SCOPE 1</t>
  </si>
  <si>
    <t>Scope</t>
  </si>
  <si>
    <t>Method</t>
  </si>
  <si>
    <t>Status</t>
  </si>
  <si>
    <t>Emissions [tCO2eq]</t>
  </si>
  <si>
    <t>Share on total [%]</t>
  </si>
  <si>
    <t>Notes</t>
  </si>
  <si>
    <t>Fuel</t>
  </si>
  <si>
    <t>Use</t>
  </si>
  <si>
    <t>Production Site</t>
  </si>
  <si>
    <t>Country</t>
  </si>
  <si>
    <t>Value</t>
  </si>
  <si>
    <t>UoM - Value</t>
  </si>
  <si>
    <t>EF</t>
  </si>
  <si>
    <t>UoM - EF</t>
  </si>
  <si>
    <t>Conversion Factor</t>
  </si>
  <si>
    <t>Emissions [tonCO2eq]</t>
  </si>
  <si>
    <t>EF Source</t>
  </si>
  <si>
    <t>CF Source</t>
  </si>
  <si>
    <t>Scope 1</t>
  </si>
  <si>
    <t>Direct Energy Use</t>
  </si>
  <si>
    <t>DONE</t>
  </si>
  <si>
    <t>Natural Gas</t>
  </si>
  <si>
    <t>Heating/Production</t>
  </si>
  <si>
    <t>La Mercurio</t>
  </si>
  <si>
    <t>Italy</t>
  </si>
  <si>
    <t>sm3</t>
  </si>
  <si>
    <t>kgCO2eq/m3</t>
  </si>
  <si>
    <t>DEFRA 2022</t>
  </si>
  <si>
    <t>Company Vehicles</t>
  </si>
  <si>
    <t>Diesel</t>
  </si>
  <si>
    <t>-</t>
  </si>
  <si>
    <t>L</t>
  </si>
  <si>
    <t>kgCO2eq/L</t>
  </si>
  <si>
    <t>Total</t>
  </si>
  <si>
    <t>SCOPE 1 - Vehicles</t>
  </si>
  <si>
    <t>Size of vehicle</t>
  </si>
  <si>
    <t>Model of vehicle</t>
  </si>
  <si>
    <t>Type of property</t>
  </si>
  <si>
    <t>Calculation 
Method</t>
  </si>
  <si>
    <t xml:space="preserve">Type of Fuel </t>
  </si>
  <si>
    <t>Distance travelled
[km]</t>
  </si>
  <si>
    <t>Average money spent on fuel</t>
  </si>
  <si>
    <t>UoM - Money</t>
  </si>
  <si>
    <t>Emissions
[tonCO2eq]</t>
  </si>
  <si>
    <t>Average car</t>
  </si>
  <si>
    <t>BWM</t>
  </si>
  <si>
    <t>Owned</t>
  </si>
  <si>
    <t>Fuel-based</t>
  </si>
  <si>
    <t>Scope 2 (MB)</t>
  </si>
  <si>
    <t>Fatturato</t>
  </si>
  <si>
    <t>Intensity S1+2</t>
  </si>
  <si>
    <t>tCO2eq/MEuro</t>
  </si>
  <si>
    <t>Plug-in Hybrid</t>
  </si>
  <si>
    <t>Petrol</t>
  </si>
  <si>
    <t>2024 - Q2</t>
  </si>
  <si>
    <t>Totale Parziale I semestre</t>
  </si>
  <si>
    <t>Di cui rinnovabile /autoprodotta)</t>
  </si>
  <si>
    <t>Quantity of fuel used [L] 2023</t>
  </si>
  <si>
    <t>Quantity of fuel used [L] 2024 (0101/24-30/06/2024)</t>
  </si>
  <si>
    <t>Tot Diesel</t>
  </si>
  <si>
    <t>Tot Petrol</t>
  </si>
  <si>
    <t>SCOPE 1 - H&amp;P Primo semestre 2024</t>
  </si>
  <si>
    <t>Emissions
[tonCO2eq] I semestre 2024</t>
  </si>
  <si>
    <t>Quantity of fuel used [L] 2023 I semestre 2023</t>
  </si>
  <si>
    <t>Emissions
[tonCO2eq] I semestre 2023</t>
  </si>
  <si>
    <t>Scope 1 I semestre 2024</t>
  </si>
  <si>
    <t>2024 I semestre</t>
  </si>
  <si>
    <t>Produzione - fotovoltaico 2024</t>
  </si>
  <si>
    <t>Energia Colonnine Elettriche</t>
  </si>
  <si>
    <t>Da valutare i consumi da colonnine elettriche se derivano da impianto FV (in caso affermativo % sarà intorno al 40%)</t>
  </si>
  <si>
    <t>Consumo colonnine</t>
  </si>
  <si>
    <t>KWh</t>
  </si>
  <si>
    <t>SCOPE 2</t>
  </si>
  <si>
    <t>Level</t>
  </si>
  <si>
    <t>Purchased electricity 
[KWh]</t>
  </si>
  <si>
    <t>of which renewable
(certified) [kWh]</t>
  </si>
  <si>
    <t>Location-based EF
[kgCO2/kWh]</t>
  </si>
  <si>
    <t>Market-based EF
[kgCO2/kWh]</t>
  </si>
  <si>
    <t>Emissions (LB)
[tonCO2eq]</t>
  </si>
  <si>
    <t>Emissions (MB)
[tonCO2eq]</t>
  </si>
  <si>
    <t>Scope 2</t>
  </si>
  <si>
    <t>Location Based</t>
  </si>
  <si>
    <t>AIB 2022</t>
  </si>
  <si>
    <t>Market Based</t>
  </si>
  <si>
    <t>Purchased Energy - 2024 I semestre</t>
  </si>
  <si>
    <t>Scope 2 (MB) I semestre 2024</t>
  </si>
  <si>
    <t>SCOPE 1 + SCOPE 2 I semestre 2024</t>
  </si>
  <si>
    <t>SCOPE 1 + SCOPE 2 2023 I semestre</t>
  </si>
  <si>
    <t>Andamento consumo reale dalle fatture</t>
  </si>
  <si>
    <t>Giorni</t>
  </si>
  <si>
    <t>Lettura iniziale</t>
  </si>
  <si>
    <t>Lettura finale</t>
  </si>
  <si>
    <t>Quantità al giorno</t>
  </si>
  <si>
    <t>Fine Periodo</t>
  </si>
  <si>
    <t>N/A - Non applicabile o non disponibile</t>
  </si>
  <si>
    <t>Stima di un mese</t>
  </si>
  <si>
    <t>Quantità per dipendente per mese</t>
  </si>
  <si>
    <t>Inizio Periodo</t>
  </si>
  <si>
    <t>in corso</t>
  </si>
  <si>
    <t>Percentuale rinnovabile</t>
  </si>
  <si>
    <t>Energia totale (MWh)</t>
  </si>
  <si>
    <t>Energia elettrica autoprodotta (MWh)</t>
  </si>
  <si>
    <t>Energia rinnovabile dal fornitore (MWh)</t>
  </si>
  <si>
    <t>Rinnovabile totale (MWh)</t>
  </si>
  <si>
    <t>Emissioni di Scope 1 e Scope 2 - I semestre 2023 e 2024</t>
  </si>
  <si>
    <t>Scope 2 (Market Based)</t>
  </si>
  <si>
    <t>Emissioni 2024 [tCO2eq]</t>
  </si>
  <si>
    <t>Emissioni 2023 [tCO2eq]</t>
  </si>
  <si>
    <t>Percentuale di differenza</t>
  </si>
  <si>
    <t>Numero dipendenti e collaboratori*</t>
  </si>
  <si>
    <t>* in attesa di acquisire il dato effettivo del numero di dipendenti e collaboratori in presenza in uffico durante i periodi di riferimento sopracitati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</si>
</sst>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??0.00"/>
    <numFmt numFmtId="166" formatCode="0.00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color theme="1"/>
      <name val="Arial"/>
      <family val="2"/>
    </font>
    <font>
      <sz val="10"/>
      <color rgb="FF404040"/>
      <name val="Arial"/>
      <family val="2"/>
    </font>
    <font>
      <sz val="12"/>
      <color rgb="FF111111"/>
      <name val="Arial"/>
      <family val="2"/>
    </font>
    <font>
      <b/>
      <sz val="11"/>
      <color rgb="FFFFFFFF"/>
      <name val="Calibri"/>
      <family val="2"/>
      <scheme val="minor"/>
    </font>
    <font>
      <b/>
      <sz val="11"/>
      <color theme="0"/>
      <name val="Calibri"/>
      <family val="2"/>
    </font>
    <font>
      <sz val="11"/>
      <color rgb="FF002060"/>
      <name val="Calibri"/>
      <family val="2"/>
      <scheme val="minor"/>
    </font>
    <font>
      <u/>
      <sz val="11"/>
      <color rgb="FF0563C1"/>
      <name val="Calibri"/>
      <family val="2"/>
    </font>
    <font>
      <u/>
      <sz val="11"/>
      <color theme="10"/>
      <name val="Calibri"/>
      <family val="2"/>
    </font>
    <font>
      <sz val="11"/>
      <color rgb="FF002060"/>
      <name val="Calibri"/>
      <family val="2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CC2E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A8D08D"/>
        <bgColor rgb="FFA8D08D"/>
      </patternFill>
    </fill>
    <fill>
      <patternFill patternType="solid">
        <fgColor rgb="FFC6EF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00B0F0"/>
        <bgColor rgb="FFA8D08D"/>
      </patternFill>
    </fill>
    <fill>
      <patternFill patternType="solid">
        <fgColor theme="9" tint="0.59999389629810485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24">
    <xf numFmtId="0" fontId="0" fillId="0" borderId="0" xfId="0"/>
    <xf numFmtId="0" fontId="0" fillId="2" borderId="4" xfId="0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0" fillId="0" borderId="7" xfId="0" applyBorder="1"/>
    <xf numFmtId="0" fontId="0" fillId="0" borderId="8" xfId="0" applyBorder="1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/>
    <xf numFmtId="0" fontId="0" fillId="0" borderId="1" xfId="0" applyBorder="1"/>
    <xf numFmtId="0" fontId="0" fillId="0" borderId="13" xfId="0" applyBorder="1"/>
    <xf numFmtId="0" fontId="0" fillId="0" borderId="14" xfId="0" applyBorder="1"/>
    <xf numFmtId="0" fontId="0" fillId="0" borderId="4" xfId="0" applyBorder="1"/>
    <xf numFmtId="0" fontId="0" fillId="0" borderId="15" xfId="0" applyBorder="1"/>
    <xf numFmtId="0" fontId="0" fillId="0" borderId="6" xfId="0" applyBorder="1"/>
    <xf numFmtId="0" fontId="0" fillId="0" borderId="3" xfId="0" applyBorder="1"/>
    <xf numFmtId="0" fontId="0" fillId="2" borderId="1" xfId="0" applyFill="1" applyBorder="1"/>
    <xf numFmtId="0" fontId="0" fillId="5" borderId="6" xfId="0" applyFill="1" applyBorder="1"/>
    <xf numFmtId="0" fontId="0" fillId="0" borderId="9" xfId="0" applyBorder="1"/>
    <xf numFmtId="0" fontId="0" fillId="6" borderId="9" xfId="0" applyFill="1" applyBorder="1"/>
    <xf numFmtId="0" fontId="0" fillId="7" borderId="9" xfId="0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3" fillId="7" borderId="17" xfId="0" applyFont="1" applyFill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0" fontId="3" fillId="0" borderId="9" xfId="0" applyFont="1" applyBorder="1" applyAlignment="1">
      <alignment horizontal="center"/>
    </xf>
    <xf numFmtId="0" fontId="3" fillId="0" borderId="0" xfId="0" applyFont="1"/>
    <xf numFmtId="0" fontId="0" fillId="0" borderId="10" xfId="0" applyBorder="1"/>
    <xf numFmtId="0" fontId="0" fillId="0" borderId="11" xfId="0" applyBorder="1"/>
    <xf numFmtId="0" fontId="0" fillId="0" borderId="0" xfId="0" applyAlignment="1">
      <alignment wrapText="1"/>
    </xf>
    <xf numFmtId="0" fontId="0" fillId="0" borderId="15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2" xfId="0" applyBorder="1"/>
    <xf numFmtId="0" fontId="0" fillId="0" borderId="20" xfId="0" applyBorder="1"/>
    <xf numFmtId="0" fontId="0" fillId="0" borderId="21" xfId="0" applyBorder="1"/>
    <xf numFmtId="0" fontId="0" fillId="0" borderId="19" xfId="0" applyBorder="1"/>
    <xf numFmtId="164" fontId="0" fillId="2" borderId="0" xfId="0" applyNumberFormat="1" applyFill="1"/>
    <xf numFmtId="0" fontId="0" fillId="2" borderId="5" xfId="0" applyFill="1" applyBorder="1"/>
    <xf numFmtId="0" fontId="0" fillId="0" borderId="22" xfId="0" applyBorder="1"/>
    <xf numFmtId="0" fontId="0" fillId="0" borderId="20" xfId="0" applyBorder="1" applyAlignment="1">
      <alignment vertical="center"/>
    </xf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0" fillId="0" borderId="18" xfId="0" applyBorder="1"/>
    <xf numFmtId="164" fontId="0" fillId="2" borderId="7" xfId="0" applyNumberFormat="1" applyFill="1" applyBorder="1"/>
    <xf numFmtId="0" fontId="0" fillId="2" borderId="8" xfId="0" applyFill="1" applyBorder="1"/>
    <xf numFmtId="0" fontId="0" fillId="0" borderId="26" xfId="0" applyBorder="1"/>
    <xf numFmtId="0" fontId="0" fillId="0" borderId="27" xfId="0" applyBorder="1"/>
    <xf numFmtId="0" fontId="7" fillId="0" borderId="4" xfId="0" applyFont="1" applyBorder="1" applyAlignment="1">
      <alignment vertical="center"/>
    </xf>
    <xf numFmtId="2" fontId="0" fillId="0" borderId="20" xfId="0" applyNumberFormat="1" applyBorder="1"/>
    <xf numFmtId="164" fontId="0" fillId="0" borderId="11" xfId="0" applyNumberFormat="1" applyBorder="1"/>
    <xf numFmtId="0" fontId="0" fillId="0" borderId="16" xfId="0" applyBorder="1"/>
    <xf numFmtId="0" fontId="7" fillId="0" borderId="6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0" fillId="5" borderId="4" xfId="0" applyFill="1" applyBorder="1"/>
    <xf numFmtId="0" fontId="6" fillId="0" borderId="0" xfId="2" applyBorder="1"/>
    <xf numFmtId="0" fontId="6" fillId="0" borderId="5" xfId="2" applyBorder="1"/>
    <xf numFmtId="164" fontId="0" fillId="0" borderId="0" xfId="0" applyNumberFormat="1"/>
    <xf numFmtId="0" fontId="8" fillId="8" borderId="4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8" borderId="4" xfId="0" applyFont="1" applyFill="1" applyBorder="1" applyAlignment="1">
      <alignment vertical="center" wrapText="1"/>
    </xf>
    <xf numFmtId="0" fontId="8" fillId="8" borderId="5" xfId="0" applyFont="1" applyFill="1" applyBorder="1" applyAlignment="1">
      <alignment vertical="center" wrapText="1"/>
    </xf>
    <xf numFmtId="0" fontId="0" fillId="5" borderId="0" xfId="0" applyFill="1"/>
    <xf numFmtId="3" fontId="0" fillId="0" borderId="7" xfId="0" applyNumberFormat="1" applyBorder="1"/>
    <xf numFmtId="0" fontId="8" fillId="8" borderId="6" xfId="0" applyFont="1" applyFill="1" applyBorder="1" applyAlignment="1">
      <alignment vertical="center" wrapText="1"/>
    </xf>
    <xf numFmtId="0" fontId="8" fillId="8" borderId="8" xfId="0" applyFont="1" applyFill="1" applyBorder="1" applyAlignment="1">
      <alignment vertical="center" wrapText="1"/>
    </xf>
    <xf numFmtId="0" fontId="8" fillId="8" borderId="7" xfId="0" applyFont="1" applyFill="1" applyBorder="1" applyAlignment="1">
      <alignment vertical="center" wrapText="1"/>
    </xf>
    <xf numFmtId="4" fontId="0" fillId="5" borderId="7" xfId="0" applyNumberFormat="1" applyFill="1" applyBorder="1"/>
    <xf numFmtId="0" fontId="9" fillId="0" borderId="6" xfId="0" applyFont="1" applyBorder="1"/>
    <xf numFmtId="0" fontId="0" fillId="9" borderId="6" xfId="0" applyFill="1" applyBorder="1"/>
    <xf numFmtId="164" fontId="0" fillId="9" borderId="7" xfId="0" applyNumberFormat="1" applyFill="1" applyBorder="1"/>
    <xf numFmtId="0" fontId="0" fillId="9" borderId="8" xfId="0" applyFill="1" applyBorder="1"/>
    <xf numFmtId="0" fontId="0" fillId="0" borderId="10" xfId="0" applyBorder="1" applyAlignment="1">
      <alignment vertical="top" wrapText="1"/>
    </xf>
    <xf numFmtId="164" fontId="0" fillId="2" borderId="2" xfId="0" applyNumberFormat="1" applyFill="1" applyBorder="1"/>
    <xf numFmtId="0" fontId="0" fillId="2" borderId="3" xfId="0" applyFill="1" applyBorder="1"/>
    <xf numFmtId="4" fontId="0" fillId="0" borderId="0" xfId="0" applyNumberFormat="1"/>
    <xf numFmtId="0" fontId="10" fillId="10" borderId="31" xfId="0" applyFont="1" applyFill="1" applyBorder="1" applyAlignment="1">
      <alignment horizontal="center" vertical="center" wrapText="1"/>
    </xf>
    <xf numFmtId="0" fontId="10" fillId="10" borderId="32" xfId="0" applyFont="1" applyFill="1" applyBorder="1" applyAlignment="1">
      <alignment horizontal="center" vertical="center" wrapText="1"/>
    </xf>
    <xf numFmtId="0" fontId="11" fillId="12" borderId="5" xfId="0" applyFont="1" applyFill="1" applyBorder="1" applyAlignment="1">
      <alignment horizontal="center" wrapText="1"/>
    </xf>
    <xf numFmtId="0" fontId="11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0" fillId="0" borderId="31" xfId="0" applyBorder="1" applyAlignment="1">
      <alignment wrapText="1"/>
    </xf>
    <xf numFmtId="0" fontId="0" fillId="0" borderId="32" xfId="0" applyBorder="1" applyAlignment="1">
      <alignment wrapText="1"/>
    </xf>
    <xf numFmtId="0" fontId="2" fillId="13" borderId="32" xfId="0" applyFont="1" applyFill="1" applyBorder="1" applyAlignment="1">
      <alignment horizontal="center" vertical="center" wrapText="1"/>
    </xf>
    <xf numFmtId="164" fontId="0" fillId="0" borderId="32" xfId="0" applyNumberFormat="1" applyBorder="1" applyAlignment="1">
      <alignment horizontal="right" wrapText="1"/>
    </xf>
    <xf numFmtId="9" fontId="0" fillId="0" borderId="32" xfId="0" applyNumberFormat="1" applyBorder="1" applyAlignment="1">
      <alignment horizontal="right" wrapText="1"/>
    </xf>
    <xf numFmtId="0" fontId="4" fillId="0" borderId="0" xfId="0" applyFont="1" applyAlignment="1">
      <alignment wrapText="1"/>
    </xf>
    <xf numFmtId="0" fontId="6" fillId="0" borderId="0" xfId="2" applyBorder="1" applyAlignment="1">
      <alignment horizontal="center" vertical="center"/>
    </xf>
    <xf numFmtId="0" fontId="4" fillId="0" borderId="0" xfId="0" applyFont="1"/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/>
    </xf>
    <xf numFmtId="164" fontId="4" fillId="0" borderId="0" xfId="0" applyNumberFormat="1" applyFont="1"/>
    <xf numFmtId="0" fontId="14" fillId="0" borderId="8" xfId="0" applyFont="1" applyBorder="1" applyAlignment="1">
      <alignment horizontal="center" vertical="center"/>
    </xf>
    <xf numFmtId="0" fontId="3" fillId="14" borderId="31" xfId="0" applyFont="1" applyFill="1" applyBorder="1" applyAlignment="1">
      <alignment wrapText="1"/>
    </xf>
    <xf numFmtId="0" fontId="0" fillId="14" borderId="32" xfId="0" applyFill="1" applyBorder="1" applyAlignment="1">
      <alignment wrapText="1"/>
    </xf>
    <xf numFmtId="164" fontId="3" fillId="14" borderId="32" xfId="0" applyNumberFormat="1" applyFont="1" applyFill="1" applyBorder="1" applyAlignment="1">
      <alignment horizontal="right" wrapText="1"/>
    </xf>
    <xf numFmtId="9" fontId="3" fillId="14" borderId="32" xfId="0" applyNumberFormat="1" applyFont="1" applyFill="1" applyBorder="1" applyAlignment="1">
      <alignment horizontal="right" wrapText="1"/>
    </xf>
    <xf numFmtId="0" fontId="14" fillId="0" borderId="0" xfId="0" applyFont="1" applyAlignment="1">
      <alignment horizontal="center" vertical="center"/>
    </xf>
    <xf numFmtId="0" fontId="10" fillId="10" borderId="35" xfId="0" applyFont="1" applyFill="1" applyBorder="1" applyAlignment="1">
      <alignment horizontal="center" vertical="center" wrapText="1"/>
    </xf>
    <xf numFmtId="0" fontId="10" fillId="10" borderId="36" xfId="0" applyFont="1" applyFill="1" applyBorder="1" applyAlignment="1">
      <alignment horizontal="center" vertical="center" wrapText="1"/>
    </xf>
    <xf numFmtId="0" fontId="0" fillId="0" borderId="3" xfId="0" applyBorder="1" applyAlignment="1">
      <alignment wrapText="1"/>
    </xf>
    <xf numFmtId="2" fontId="0" fillId="0" borderId="0" xfId="0" applyNumberFormat="1"/>
    <xf numFmtId="2" fontId="0" fillId="0" borderId="2" xfId="0" applyNumberFormat="1" applyBorder="1"/>
    <xf numFmtId="0" fontId="10" fillId="10" borderId="37" xfId="0" applyFont="1" applyFill="1" applyBorder="1" applyAlignment="1">
      <alignment horizontal="center" vertical="center" wrapText="1"/>
    </xf>
    <xf numFmtId="0" fontId="10" fillId="10" borderId="38" xfId="0" applyFont="1" applyFill="1" applyBorder="1" applyAlignment="1">
      <alignment horizontal="center" vertical="center" wrapText="1"/>
    </xf>
    <xf numFmtId="2" fontId="4" fillId="0" borderId="0" xfId="0" applyNumberFormat="1" applyFont="1" applyAlignment="1">
      <alignment horizontal="center" vertical="center"/>
    </xf>
    <xf numFmtId="4" fontId="0" fillId="0" borderId="0" xfId="0" applyNumberFormat="1" applyAlignment="1">
      <alignment wrapText="1"/>
    </xf>
    <xf numFmtId="2" fontId="15" fillId="0" borderId="0" xfId="0" applyNumberFormat="1" applyFont="1" applyAlignment="1">
      <alignment horizontal="center" vertical="center"/>
    </xf>
    <xf numFmtId="0" fontId="3" fillId="0" borderId="0" xfId="0" applyFont="1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1" fillId="12" borderId="9" xfId="0" applyFont="1" applyFill="1" applyBorder="1" applyAlignment="1">
      <alignment horizontal="center" vertical="center" wrapText="1"/>
    </xf>
    <xf numFmtId="0" fontId="11" fillId="12" borderId="9" xfId="0" applyFont="1" applyFill="1" applyBorder="1" applyAlignment="1">
      <alignment horizontal="center" wrapText="1"/>
    </xf>
    <xf numFmtId="0" fontId="4" fillId="0" borderId="9" xfId="0" applyFont="1" applyBorder="1"/>
    <xf numFmtId="0" fontId="4" fillId="0" borderId="9" xfId="0" applyFont="1" applyBorder="1" applyAlignment="1">
      <alignment horizontal="left"/>
    </xf>
    <xf numFmtId="2" fontId="4" fillId="0" borderId="9" xfId="0" applyNumberFormat="1" applyFont="1" applyBorder="1" applyAlignment="1">
      <alignment horizontal="right"/>
    </xf>
    <xf numFmtId="0" fontId="4" fillId="0" borderId="9" xfId="0" applyFont="1" applyBorder="1" applyAlignment="1">
      <alignment wrapText="1"/>
    </xf>
    <xf numFmtId="2" fontId="4" fillId="0" borderId="9" xfId="0" applyNumberFormat="1" applyFont="1" applyBorder="1" applyAlignment="1">
      <alignment horizontal="center"/>
    </xf>
    <xf numFmtId="0" fontId="6" fillId="0" borderId="9" xfId="2" applyBorder="1" applyAlignment="1">
      <alignment horizontal="center" vertical="center"/>
    </xf>
    <xf numFmtId="0" fontId="0" fillId="0" borderId="9" xfId="0" applyBorder="1" applyAlignment="1">
      <alignment wrapText="1"/>
    </xf>
    <xf numFmtId="4" fontId="0" fillId="0" borderId="9" xfId="0" applyNumberFormat="1" applyBorder="1"/>
    <xf numFmtId="2" fontId="4" fillId="0" borderId="0" xfId="0" applyNumberFormat="1" applyFont="1" applyAlignment="1">
      <alignment horizontal="right"/>
    </xf>
    <xf numFmtId="4" fontId="3" fillId="3" borderId="9" xfId="0" applyNumberFormat="1" applyFont="1" applyFill="1" applyBorder="1"/>
    <xf numFmtId="0" fontId="11" fillId="15" borderId="9" xfId="0" applyFont="1" applyFill="1" applyBorder="1" applyAlignment="1">
      <alignment horizontal="center" vertical="center" wrapText="1"/>
    </xf>
    <xf numFmtId="165" fontId="12" fillId="0" borderId="9" xfId="0" applyNumberFormat="1" applyFont="1" applyBorder="1" applyAlignment="1">
      <alignment horizontal="center"/>
    </xf>
    <xf numFmtId="1" fontId="4" fillId="0" borderId="9" xfId="0" applyNumberFormat="1" applyFont="1" applyBorder="1" applyAlignment="1">
      <alignment wrapText="1"/>
    </xf>
    <xf numFmtId="164" fontId="4" fillId="0" borderId="9" xfId="0" applyNumberFormat="1" applyFont="1" applyBorder="1" applyAlignment="1">
      <alignment wrapText="1"/>
    </xf>
    <xf numFmtId="4" fontId="0" fillId="0" borderId="9" xfId="0" applyNumberFormat="1" applyBorder="1" applyAlignment="1">
      <alignment wrapText="1"/>
    </xf>
    <xf numFmtId="1" fontId="4" fillId="0" borderId="9" xfId="0" applyNumberFormat="1" applyFont="1" applyBorder="1"/>
    <xf numFmtId="0" fontId="13" fillId="0" borderId="9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/>
    </xf>
    <xf numFmtId="0" fontId="11" fillId="12" borderId="4" xfId="0" applyFont="1" applyFill="1" applyBorder="1" applyAlignment="1">
      <alignment horizontal="center" vertical="center"/>
    </xf>
    <xf numFmtId="0" fontId="11" fillId="12" borderId="0" xfId="0" applyFont="1" applyFill="1" applyAlignment="1">
      <alignment horizontal="center" vertical="center"/>
    </xf>
    <xf numFmtId="0" fontId="11" fillId="12" borderId="0" xfId="0" applyFont="1" applyFill="1" applyAlignment="1">
      <alignment horizontal="center" vertical="center" wrapText="1"/>
    </xf>
    <xf numFmtId="2" fontId="0" fillId="0" borderId="7" xfId="0" applyNumberFormat="1" applyBorder="1"/>
    <xf numFmtId="164" fontId="0" fillId="0" borderId="7" xfId="0" applyNumberFormat="1" applyBorder="1"/>
    <xf numFmtId="164" fontId="4" fillId="0" borderId="7" xfId="0" applyNumberFormat="1" applyFont="1" applyBorder="1" applyAlignment="1">
      <alignment horizontal="center"/>
    </xf>
    <xf numFmtId="0" fontId="16" fillId="0" borderId="0" xfId="0" applyFont="1" applyAlignment="1">
      <alignment vertical="center"/>
    </xf>
    <xf numFmtId="0" fontId="16" fillId="0" borderId="0" xfId="0" quotePrefix="1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17" fillId="0" borderId="0" xfId="0" applyFont="1"/>
    <xf numFmtId="0" fontId="3" fillId="3" borderId="35" xfId="0" applyFont="1" applyFill="1" applyBorder="1" applyAlignment="1">
      <alignment horizontal="center" vertical="center" wrapText="1"/>
    </xf>
    <xf numFmtId="0" fontId="3" fillId="3" borderId="36" xfId="0" applyFont="1" applyFill="1" applyBorder="1" applyAlignment="1">
      <alignment horizontal="center" vertical="center" wrapText="1"/>
    </xf>
    <xf numFmtId="0" fontId="3" fillId="3" borderId="37" xfId="0" applyFont="1" applyFill="1" applyBorder="1" applyAlignment="1">
      <alignment horizontal="center" vertical="center" wrapText="1"/>
    </xf>
    <xf numFmtId="0" fontId="3" fillId="3" borderId="38" xfId="0" applyFont="1" applyFill="1" applyBorder="1" applyAlignment="1">
      <alignment horizontal="center" vertical="center" wrapText="1"/>
    </xf>
    <xf numFmtId="0" fontId="0" fillId="2" borderId="0" xfId="0" applyFill="1"/>
    <xf numFmtId="14" fontId="0" fillId="0" borderId="9" xfId="0" applyNumberFormat="1" applyBorder="1" applyAlignment="1">
      <alignment wrapText="1"/>
    </xf>
    <xf numFmtId="3" fontId="0" fillId="0" borderId="9" xfId="0" applyNumberFormat="1" applyBorder="1"/>
    <xf numFmtId="14" fontId="0" fillId="0" borderId="9" xfId="0" applyNumberFormat="1" applyBorder="1"/>
    <xf numFmtId="0" fontId="0" fillId="0" borderId="39" xfId="0" applyBorder="1"/>
    <xf numFmtId="0" fontId="0" fillId="0" borderId="40" xfId="0" applyBorder="1" applyAlignment="1">
      <alignment wrapText="1"/>
    </xf>
    <xf numFmtId="0" fontId="0" fillId="0" borderId="41" xfId="0" applyBorder="1" applyAlignment="1">
      <alignment wrapText="1"/>
    </xf>
    <xf numFmtId="0" fontId="0" fillId="0" borderId="42" xfId="0" applyBorder="1"/>
    <xf numFmtId="0" fontId="0" fillId="0" borderId="43" xfId="0" applyBorder="1" applyAlignment="1">
      <alignment wrapText="1"/>
    </xf>
    <xf numFmtId="14" fontId="0" fillId="0" borderId="42" xfId="0" applyNumberFormat="1" applyBorder="1"/>
    <xf numFmtId="14" fontId="0" fillId="0" borderId="44" xfId="0" applyNumberFormat="1" applyBorder="1"/>
    <xf numFmtId="0" fontId="0" fillId="0" borderId="45" xfId="0" applyBorder="1"/>
    <xf numFmtId="3" fontId="0" fillId="0" borderId="45" xfId="0" applyNumberFormat="1" applyBorder="1"/>
    <xf numFmtId="0" fontId="0" fillId="0" borderId="46" xfId="0" applyBorder="1"/>
    <xf numFmtId="164" fontId="0" fillId="0" borderId="9" xfId="0" applyNumberFormat="1" applyBorder="1"/>
    <xf numFmtId="166" fontId="0" fillId="0" borderId="9" xfId="0" applyNumberFormat="1" applyBorder="1"/>
    <xf numFmtId="166" fontId="0" fillId="0" borderId="43" xfId="0" applyNumberFormat="1" applyBorder="1"/>
    <xf numFmtId="9" fontId="0" fillId="0" borderId="0" xfId="1" applyFont="1"/>
    <xf numFmtId="166" fontId="0" fillId="0" borderId="0" xfId="0" applyNumberFormat="1"/>
    <xf numFmtId="2" fontId="0" fillId="0" borderId="5" xfId="0" applyNumberFormat="1" applyBorder="1"/>
    <xf numFmtId="2" fontId="0" fillId="0" borderId="8" xfId="0" applyNumberFormat="1" applyBorder="1"/>
    <xf numFmtId="0" fontId="18" fillId="16" borderId="4" xfId="0" applyFont="1" applyFill="1" applyBorder="1" applyAlignment="1">
      <alignment horizontal="center" vertical="center" wrapText="1"/>
    </xf>
    <xf numFmtId="0" fontId="18" fillId="16" borderId="0" xfId="0" applyFont="1" applyFill="1" applyAlignment="1">
      <alignment horizontal="center" vertical="center" wrapText="1"/>
    </xf>
    <xf numFmtId="0" fontId="18" fillId="16" borderId="5" xfId="0" applyFont="1" applyFill="1" applyBorder="1" applyAlignment="1">
      <alignment horizontal="center" vertical="center" wrapText="1"/>
    </xf>
    <xf numFmtId="9" fontId="0" fillId="0" borderId="0" xfId="1" applyFont="1" applyFill="1" applyBorder="1"/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5" fillId="3" borderId="10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3" fillId="6" borderId="9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9" fontId="3" fillId="0" borderId="0" xfId="1" applyFont="1" applyAlignment="1">
      <alignment horizontal="center" vertical="center" wrapText="1"/>
    </xf>
    <xf numFmtId="9" fontId="3" fillId="0" borderId="0" xfId="0" applyNumberFormat="1" applyFont="1" applyAlignment="1">
      <alignment horizontal="center" vertical="center"/>
    </xf>
    <xf numFmtId="0" fontId="3" fillId="11" borderId="1" xfId="0" applyFont="1" applyFill="1" applyBorder="1" applyAlignment="1">
      <alignment horizontal="center" wrapText="1"/>
    </xf>
    <xf numFmtId="0" fontId="3" fillId="11" borderId="2" xfId="0" applyFont="1" applyFill="1" applyBorder="1" applyAlignment="1">
      <alignment horizontal="center" wrapText="1"/>
    </xf>
    <xf numFmtId="0" fontId="3" fillId="11" borderId="3" xfId="0" applyFont="1" applyFill="1" applyBorder="1" applyAlignment="1">
      <alignment horizontal="center" wrapText="1"/>
    </xf>
    <xf numFmtId="0" fontId="10" fillId="10" borderId="33" xfId="0" applyFont="1" applyFill="1" applyBorder="1" applyAlignment="1">
      <alignment horizontal="center" wrapText="1"/>
    </xf>
    <xf numFmtId="0" fontId="10" fillId="10" borderId="34" xfId="0" applyFont="1" applyFill="1" applyBorder="1" applyAlignment="1">
      <alignment horizontal="center" wrapText="1"/>
    </xf>
    <xf numFmtId="0" fontId="10" fillId="10" borderId="29" xfId="0" applyFont="1" applyFill="1" applyBorder="1" applyAlignment="1">
      <alignment horizontal="center" wrapText="1"/>
    </xf>
    <xf numFmtId="0" fontId="10" fillId="10" borderId="30" xfId="0" applyFont="1" applyFill="1" applyBorder="1" applyAlignment="1">
      <alignment horizontal="center" wrapText="1"/>
    </xf>
    <xf numFmtId="0" fontId="10" fillId="10" borderId="28" xfId="0" applyFont="1" applyFill="1" applyBorder="1" applyAlignment="1">
      <alignment horizontal="center" wrapText="1"/>
    </xf>
    <xf numFmtId="0" fontId="10" fillId="11" borderId="1" xfId="0" applyFont="1" applyFill="1" applyBorder="1" applyAlignment="1">
      <alignment horizontal="center" wrapText="1"/>
    </xf>
    <xf numFmtId="0" fontId="10" fillId="11" borderId="2" xfId="0" applyFont="1" applyFill="1" applyBorder="1" applyAlignment="1">
      <alignment horizontal="center" wrapText="1"/>
    </xf>
    <xf numFmtId="0" fontId="10" fillId="11" borderId="3" xfId="0" applyFont="1" applyFill="1" applyBorder="1" applyAlignment="1">
      <alignment horizontal="center" wrapText="1"/>
    </xf>
    <xf numFmtId="0" fontId="3" fillId="3" borderId="33" xfId="0" applyFont="1" applyFill="1" applyBorder="1" applyAlignment="1">
      <alignment horizontal="center" wrapText="1"/>
    </xf>
    <xf numFmtId="0" fontId="3" fillId="3" borderId="34" xfId="0" applyFont="1" applyFill="1" applyBorder="1" applyAlignment="1">
      <alignment horizontal="center" wrapText="1"/>
    </xf>
    <xf numFmtId="0" fontId="3" fillId="3" borderId="29" xfId="0" applyFont="1" applyFill="1" applyBorder="1" applyAlignment="1">
      <alignment horizontal="center" wrapText="1"/>
    </xf>
    <xf numFmtId="0" fontId="3" fillId="3" borderId="30" xfId="0" applyFont="1" applyFill="1" applyBorder="1" applyAlignment="1">
      <alignment horizontal="center" wrapText="1"/>
    </xf>
    <xf numFmtId="0" fontId="10" fillId="11" borderId="9" xfId="0" applyFont="1" applyFill="1" applyBorder="1" applyAlignment="1">
      <alignment horizontal="center" wrapText="1"/>
    </xf>
    <xf numFmtId="0" fontId="11" fillId="12" borderId="26" xfId="0" applyFont="1" applyFill="1" applyBorder="1" applyAlignment="1">
      <alignment horizontal="center" wrapText="1"/>
    </xf>
    <xf numFmtId="0" fontId="11" fillId="12" borderId="24" xfId="0" applyFont="1" applyFill="1" applyBorder="1" applyAlignment="1">
      <alignment horizontal="center" wrapText="1"/>
    </xf>
    <xf numFmtId="0" fontId="11" fillId="12" borderId="16" xfId="0" applyFont="1" applyFill="1" applyBorder="1" applyAlignment="1">
      <alignment horizontal="center" wrapText="1"/>
    </xf>
    <xf numFmtId="0" fontId="11" fillId="12" borderId="15" xfId="0" applyFont="1" applyFill="1" applyBorder="1" applyAlignment="1">
      <alignment horizontal="center" wrapText="1"/>
    </xf>
    <xf numFmtId="0" fontId="11" fillId="12" borderId="22" xfId="0" applyFont="1" applyFill="1" applyBorder="1" applyAlignment="1">
      <alignment horizontal="center" wrapText="1"/>
    </xf>
    <xf numFmtId="0" fontId="11" fillId="12" borderId="21" xfId="0" applyFont="1" applyFill="1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11" fillId="12" borderId="1" xfId="0" applyFont="1" applyFill="1" applyBorder="1" applyAlignment="1">
      <alignment horizontal="center" vertical="center"/>
    </xf>
    <xf numFmtId="0" fontId="11" fillId="12" borderId="2" xfId="0" applyFont="1" applyFill="1" applyBorder="1" applyAlignment="1">
      <alignment horizontal="center" vertical="center"/>
    </xf>
    <xf numFmtId="0" fontId="11" fillId="12" borderId="3" xfId="0" applyFont="1" applyFill="1" applyBorder="1" applyAlignment="1">
      <alignment horizontal="center" vertical="center"/>
    </xf>
    <xf numFmtId="0" fontId="0" fillId="3" borderId="9" xfId="0" applyFill="1" applyBorder="1"/>
  </cellXfs>
  <cellStyles count="3">
    <cellStyle name="Collegamento ipertestuale" xfId="2" builtinId="8"/>
    <cellStyle name="Normale" xfId="0" builtinId="0"/>
    <cellStyle name="Percentual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it-IT"/>
              <a:t>Andamento</a:t>
            </a:r>
            <a:r>
              <a:rPr lang="it-IT" baseline="0"/>
              <a:t> consumi energetici trimestrale [MWh]</a:t>
            </a:r>
            <a:endParaRPr lang="it-I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'Consumo energia 23 vs 24'!$N$1</c:f>
              <c:strCache>
                <c:ptCount val="1"/>
                <c:pt idx="0">
                  <c:v>Energia totale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'Consumo energia 23 vs 24'!$I$2:$I$7</c:f>
              <c:strCache>
                <c:ptCount val="6"/>
                <c:pt idx="0">
                  <c:v>2023 - Q1</c:v>
                </c:pt>
                <c:pt idx="1">
                  <c:v>2023 - Q2</c:v>
                </c:pt>
                <c:pt idx="2">
                  <c:v>2023 - Q3</c:v>
                </c:pt>
                <c:pt idx="3">
                  <c:v>2023 - Q4</c:v>
                </c:pt>
                <c:pt idx="4">
                  <c:v>2024 - Q1</c:v>
                </c:pt>
                <c:pt idx="5">
                  <c:v>2024 - Q2</c:v>
                </c:pt>
              </c:strCache>
            </c:strRef>
          </c:cat>
          <c:val>
            <c:numRef>
              <c:f>'Consumo energia 23 vs 24'!$N$2:$N$7</c:f>
              <c:numCache>
                <c:formatCode>General</c:formatCode>
                <c:ptCount val="6"/>
                <c:pt idx="0">
                  <c:v>9.0754300000000008</c:v>
                </c:pt>
                <c:pt idx="1">
                  <c:v>6.5571999999999999</c:v>
                </c:pt>
                <c:pt idx="2">
                  <c:v>3.0449999999999999</c:v>
                </c:pt>
                <c:pt idx="3">
                  <c:v>13.723000000000001</c:v>
                </c:pt>
                <c:pt idx="4">
                  <c:v>15.639860000000002</c:v>
                </c:pt>
                <c:pt idx="5">
                  <c:v>8.6406600000000005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D-4C30-8EB5-0A1114385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95479151"/>
        <c:axId val="595493551"/>
      </c:barChart>
      <c:lineChart>
        <c:grouping val="standard"/>
        <c:varyColors val="0"/>
        <c:ser>
          <c:idx val="0"/>
          <c:order val="0"/>
          <c:tx>
            <c:strRef>
              <c:f>'Consumo energia 23 vs 24'!$J$1</c:f>
              <c:strCache>
                <c:ptCount val="1"/>
                <c:pt idx="0">
                  <c:v>Energia elettrica acquistata</c:v>
                </c:pt>
              </c:strCache>
            </c:strRef>
          </c:tx>
          <c:spPr>
            <a:ln w="2857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'Consumo energia 23 vs 24'!$I$2:$I$7</c:f>
              <c:strCache>
                <c:ptCount val="6"/>
                <c:pt idx="0">
                  <c:v>2023 - Q1</c:v>
                </c:pt>
                <c:pt idx="1">
                  <c:v>2023 - Q2</c:v>
                </c:pt>
                <c:pt idx="2">
                  <c:v>2023 - Q3</c:v>
                </c:pt>
                <c:pt idx="3">
                  <c:v>2023 - Q4</c:v>
                </c:pt>
                <c:pt idx="4">
                  <c:v>2024 - Q1</c:v>
                </c:pt>
                <c:pt idx="5">
                  <c:v>2024 - Q2</c:v>
                </c:pt>
              </c:strCache>
            </c:strRef>
          </c:cat>
          <c:val>
            <c:numRef>
              <c:f>'Consumo energia 23 vs 24'!$J$2:$J$7</c:f>
              <c:numCache>
                <c:formatCode>General</c:formatCode>
                <c:ptCount val="6"/>
                <c:pt idx="0">
                  <c:v>3.2280000000000002</c:v>
                </c:pt>
                <c:pt idx="1">
                  <c:v>3.5640000000000001</c:v>
                </c:pt>
                <c:pt idx="2">
                  <c:v>2.4550000000000001</c:v>
                </c:pt>
                <c:pt idx="3">
                  <c:v>10.329000000000001</c:v>
                </c:pt>
                <c:pt idx="4">
                  <c:v>11.512630000000001</c:v>
                </c:pt>
                <c:pt idx="5">
                  <c:v>2.7475800000000001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5D-4C30-8EB5-0A11143859A4}"/>
            </c:ext>
          </c:extLst>
        </c:ser>
        <c:ser>
          <c:idx val="1"/>
          <c:order val="1"/>
          <c:tx>
            <c:strRef>
              <c:f>'Consumo energia 23 vs 24'!$K$1</c:f>
              <c:strCache>
                <c:ptCount val="1"/>
                <c:pt idx="0">
                  <c:v>Energia elettrica autoprodotta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'Consumo energia 23 vs 24'!$I$2:$I$7</c:f>
              <c:strCache>
                <c:ptCount val="6"/>
                <c:pt idx="0">
                  <c:v>2023 - Q1</c:v>
                </c:pt>
                <c:pt idx="1">
                  <c:v>2023 - Q2</c:v>
                </c:pt>
                <c:pt idx="2">
                  <c:v>2023 - Q3</c:v>
                </c:pt>
                <c:pt idx="3">
                  <c:v>2023 - Q4</c:v>
                </c:pt>
                <c:pt idx="4">
                  <c:v>2024 - Q1</c:v>
                </c:pt>
                <c:pt idx="5">
                  <c:v>2024 - Q2</c:v>
                </c:pt>
              </c:strCache>
            </c:strRef>
          </c:cat>
          <c:val>
            <c:numRef>
              <c:f>'Consumo energia 23 vs 24'!$K$2:$K$7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0.59</c:v>
                </c:pt>
                <c:pt idx="3">
                  <c:v>3.3940000000000001</c:v>
                </c:pt>
                <c:pt idx="4">
                  <c:v>4.1272300000000008</c:v>
                </c:pt>
                <c:pt idx="5">
                  <c:v>5.8930800000000003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5D-4C30-8EB5-0A11143859A4}"/>
            </c:ext>
          </c:extLst>
        </c:ser>
        <c:ser>
          <c:idx val="2"/>
          <c:order val="2"/>
          <c:tx>
            <c:strRef>
              <c:f>'Consumo energia 23 vs 24'!$L$1</c:f>
              <c:strCache>
                <c:ptCount val="1"/>
                <c:pt idx="0">
                  <c:v>Energia termica acquistata</c:v>
                </c:pt>
              </c:strCache>
            </c:strRef>
          </c:tx>
          <c:spPr>
            <a:ln w="28575" cap="rnd">
              <a:solidFill>
                <a:srgbClr val="C00000"/>
              </a:solidFill>
              <a:round/>
            </a:ln>
            <a:effectLst/>
          </c:spPr>
          <c:marker>
            <c:symbol val="none"/>
          </c:marker>
          <c:cat>
            <c:strRef>
              <c:f>'Consumo energia 23 vs 24'!$I$2:$I$7</c:f>
              <c:strCache>
                <c:ptCount val="6"/>
                <c:pt idx="0">
                  <c:v>2023 - Q1</c:v>
                </c:pt>
                <c:pt idx="1">
                  <c:v>2023 - Q2</c:v>
                </c:pt>
                <c:pt idx="2">
                  <c:v>2023 - Q3</c:v>
                </c:pt>
                <c:pt idx="3">
                  <c:v>2023 - Q4</c:v>
                </c:pt>
                <c:pt idx="4">
                  <c:v>2024 - Q1</c:v>
                </c:pt>
                <c:pt idx="5">
                  <c:v>2024 - Q2</c:v>
                </c:pt>
              </c:strCache>
            </c:strRef>
          </c:cat>
          <c:val>
            <c:numRef>
              <c:f>'Consumo energia 23 vs 24'!$L$2:$L$7</c:f>
              <c:numCache>
                <c:formatCode>General</c:formatCode>
                <c:ptCount val="6"/>
                <c:pt idx="0">
                  <c:v>5.8474300000000001</c:v>
                </c:pt>
                <c:pt idx="1">
                  <c:v>2.9931999999999999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B5D-4C30-8EB5-0A11143859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5479151"/>
        <c:axId val="595493551"/>
      </c:lineChart>
      <c:catAx>
        <c:axId val="595479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95493551"/>
        <c:crosses val="autoZero"/>
        <c:auto val="1"/>
        <c:lblAlgn val="ctr"/>
        <c:lblOffset val="100"/>
        <c:noMultiLvlLbl val="0"/>
      </c:catAx>
      <c:valAx>
        <c:axId val="59549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595479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3" Type="http://schemas.openxmlformats.org/officeDocument/2006/relationships/image" Target="../media/image5.png"/><Relationship Id="rId7" Type="http://schemas.openxmlformats.org/officeDocument/2006/relationships/chart" Target="../charts/chart1.xml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Relationship Id="rId9" Type="http://schemas.openxmlformats.org/officeDocument/2006/relationships/image" Target="../media/image10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11</xdr:row>
      <xdr:rowOff>0</xdr:rowOff>
    </xdr:from>
    <xdr:to>
      <xdr:col>5</xdr:col>
      <xdr:colOff>703341</xdr:colOff>
      <xdr:row>15</xdr:row>
      <xdr:rowOff>173355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ADFEA5-7546-4775-BBC7-B23799BCA7E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68909"/>
        <a:stretch/>
      </xdr:blipFill>
      <xdr:spPr>
        <a:xfrm>
          <a:off x="0" y="1933575"/>
          <a:ext cx="4572396" cy="94297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3810</xdr:rowOff>
    </xdr:from>
    <xdr:to>
      <xdr:col>11</xdr:col>
      <xdr:colOff>94054</xdr:colOff>
      <xdr:row>28</xdr:row>
      <xdr:rowOff>18810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B91B97BB-0A3F-A5D8-9FFC-DB752A9C78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25190"/>
          <a:ext cx="8411431" cy="184761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25</xdr:row>
      <xdr:rowOff>95250</xdr:rowOff>
    </xdr:from>
    <xdr:to>
      <xdr:col>5</xdr:col>
      <xdr:colOff>19050</xdr:colOff>
      <xdr:row>32</xdr:row>
      <xdr:rowOff>171450</xdr:rowOff>
    </xdr:to>
    <xdr:cxnSp macro="">
      <xdr:nvCxnSpPr>
        <xdr:cNvPr id="6" name="Connettore 2 5">
          <a:extLst>
            <a:ext uri="{FF2B5EF4-FFF2-40B4-BE49-F238E27FC236}">
              <a16:creationId xmlns:a16="http://schemas.microsoft.com/office/drawing/2014/main" id="{30763C06-D4D6-DF7F-0E22-505060B7C297}"/>
            </a:ext>
          </a:extLst>
        </xdr:cNvPr>
        <xdr:cNvCxnSpPr/>
      </xdr:nvCxnSpPr>
      <xdr:spPr>
        <a:xfrm flipH="1">
          <a:off x="6705600" y="5000625"/>
          <a:ext cx="1362075" cy="1419225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11</xdr:row>
      <xdr:rowOff>136007</xdr:rowOff>
    </xdr:from>
    <xdr:to>
      <xdr:col>17</xdr:col>
      <xdr:colOff>403391</xdr:colOff>
      <xdr:row>21</xdr:row>
      <xdr:rowOff>94486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22F11A-2CC9-4D0C-B6FE-73433AF42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05800" y="2641082"/>
          <a:ext cx="2144561" cy="1873004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12</xdr:row>
      <xdr:rowOff>6777</xdr:rowOff>
    </xdr:from>
    <xdr:to>
      <xdr:col>7</xdr:col>
      <xdr:colOff>136227</xdr:colOff>
      <xdr:row>22</xdr:row>
      <xdr:rowOff>11216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70628C3-31CF-47D7-A984-439FEE1E93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525" y="2702352"/>
          <a:ext cx="3867001" cy="19037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</xdr:row>
      <xdr:rowOff>101406</xdr:rowOff>
    </xdr:from>
    <xdr:to>
      <xdr:col>14</xdr:col>
      <xdr:colOff>172769</xdr:colOff>
      <xdr:row>34</xdr:row>
      <xdr:rowOff>131178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479FE64-1D3D-49CD-88EF-0F4FBF097B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5353763"/>
          <a:ext cx="9173568" cy="1748082"/>
        </a:xfrm>
        <a:prstGeom prst="rect">
          <a:avLst/>
        </a:prstGeom>
      </xdr:spPr>
    </xdr:pic>
    <xdr:clientData/>
  </xdr:twoCellAnchor>
  <xdr:twoCellAnchor editAs="oneCell">
    <xdr:from>
      <xdr:col>10</xdr:col>
      <xdr:colOff>190500</xdr:colOff>
      <xdr:row>11</xdr:row>
      <xdr:rowOff>122685</xdr:rowOff>
    </xdr:from>
    <xdr:to>
      <xdr:col>15</xdr:col>
      <xdr:colOff>59143</xdr:colOff>
      <xdr:row>25</xdr:row>
      <xdr:rowOff>135744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0E448C0-9C2E-4DC7-A137-DA9F0E10E9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057650" y="2627760"/>
          <a:ext cx="3959176" cy="27600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20951</xdr:rowOff>
    </xdr:from>
    <xdr:to>
      <xdr:col>14</xdr:col>
      <xdr:colOff>112177</xdr:colOff>
      <xdr:row>39</xdr:row>
      <xdr:rowOff>98657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E69FBD7-8BB9-4B8A-A73C-6CD1B81EC1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7178308"/>
          <a:ext cx="9116786" cy="847326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22</xdr:row>
      <xdr:rowOff>62735</xdr:rowOff>
    </xdr:from>
    <xdr:to>
      <xdr:col>7</xdr:col>
      <xdr:colOff>277265</xdr:colOff>
      <xdr:row>24</xdr:row>
      <xdr:rowOff>254822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31CFA97-CC23-4499-AAEE-A382B747E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9525" y="4663310"/>
          <a:ext cx="3994704" cy="578802"/>
        </a:xfrm>
        <a:prstGeom prst="rect">
          <a:avLst/>
        </a:prstGeom>
      </xdr:spPr>
    </xdr:pic>
    <xdr:clientData/>
  </xdr:twoCellAnchor>
  <xdr:twoCellAnchor>
    <xdr:from>
      <xdr:col>17</xdr:col>
      <xdr:colOff>26333</xdr:colOff>
      <xdr:row>0</xdr:row>
      <xdr:rowOff>96931</xdr:rowOff>
    </xdr:from>
    <xdr:to>
      <xdr:col>24</xdr:col>
      <xdr:colOff>550208</xdr:colOff>
      <xdr:row>11</xdr:row>
      <xdr:rowOff>94690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489FB0A-F77C-4BAA-8589-1C7EA10BC3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25</xdr:col>
      <xdr:colOff>0</xdr:colOff>
      <xdr:row>0</xdr:row>
      <xdr:rowOff>47625</xdr:rowOff>
    </xdr:from>
    <xdr:to>
      <xdr:col>35</xdr:col>
      <xdr:colOff>479371</xdr:colOff>
      <xdr:row>13</xdr:row>
      <xdr:rowOff>130884</xdr:rowOff>
    </xdr:to>
    <xdr:pic>
      <xdr:nvPicPr>
        <xdr:cNvPr id="10" name="Immagine 9">
          <a:extLst>
            <a:ext uri="{FF2B5EF4-FFF2-40B4-BE49-F238E27FC236}">
              <a16:creationId xmlns:a16="http://schemas.microsoft.com/office/drawing/2014/main" id="{0208C70A-FBD4-02FC-1F4C-A8083F928B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225618" y="47625"/>
          <a:ext cx="6534356" cy="3728757"/>
        </a:xfrm>
        <a:prstGeom prst="rect">
          <a:avLst/>
        </a:prstGeom>
      </xdr:spPr>
    </xdr:pic>
    <xdr:clientData/>
  </xdr:twoCellAnchor>
  <xdr:twoCellAnchor editAs="oneCell">
    <xdr:from>
      <xdr:col>24</xdr:col>
      <xdr:colOff>401011</xdr:colOff>
      <xdr:row>19</xdr:row>
      <xdr:rowOff>136071</xdr:rowOff>
    </xdr:from>
    <xdr:to>
      <xdr:col>36</xdr:col>
      <xdr:colOff>384466</xdr:colOff>
      <xdr:row>41</xdr:row>
      <xdr:rowOff>40863</xdr:rowOff>
    </xdr:to>
    <xdr:pic>
      <xdr:nvPicPr>
        <xdr:cNvPr id="11" name="Immagine 10">
          <a:extLst>
            <a:ext uri="{FF2B5EF4-FFF2-40B4-BE49-F238E27FC236}">
              <a16:creationId xmlns:a16="http://schemas.microsoft.com/office/drawing/2014/main" id="{1C896F4A-DB93-ACB1-F32C-97E742945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4498011" y="4163785"/>
          <a:ext cx="7331312" cy="417743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56029</xdr:colOff>
      <xdr:row>21</xdr:row>
      <xdr:rowOff>80682</xdr:rowOff>
    </xdr:from>
    <xdr:to>
      <xdr:col>15</xdr:col>
      <xdr:colOff>1165412</xdr:colOff>
      <xdr:row>38</xdr:row>
      <xdr:rowOff>133733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9B5EE3F-FF8C-6CC5-3DA2-AFAF1936BE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2876" y="5728447"/>
          <a:ext cx="8155642" cy="330723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v.uk/government/publications/greenhouse-gas-reporting-conversion-factors-2022" TargetMode="External"/><Relationship Id="rId13" Type="http://schemas.openxmlformats.org/officeDocument/2006/relationships/printerSettings" Target="../printerSettings/printerSettings2.bin"/><Relationship Id="rId3" Type="http://schemas.openxmlformats.org/officeDocument/2006/relationships/hyperlink" Target="https://www.gov.uk/government/publications/greenhouse-gas-reporting-conversion-factors-2022" TargetMode="External"/><Relationship Id="rId7" Type="http://schemas.openxmlformats.org/officeDocument/2006/relationships/hyperlink" Target="https://www.gov.uk/government/publications/greenhouse-gas-reporting-conversion-factors-2022" TargetMode="External"/><Relationship Id="rId12" Type="http://schemas.openxmlformats.org/officeDocument/2006/relationships/hyperlink" Target="https://www.gov.uk/government/publications/greenhouse-gas-reporting-conversion-factors-2022" TargetMode="External"/><Relationship Id="rId2" Type="http://schemas.openxmlformats.org/officeDocument/2006/relationships/hyperlink" Target="https://www.gov.uk/government/publications/greenhouse-gas-reporting-conversion-factors-2022" TargetMode="External"/><Relationship Id="rId1" Type="http://schemas.openxmlformats.org/officeDocument/2006/relationships/hyperlink" Target="https://www.gov.uk/government/publications/greenhouse-gas-reporting-conversion-factors-2022" TargetMode="External"/><Relationship Id="rId6" Type="http://schemas.openxmlformats.org/officeDocument/2006/relationships/hyperlink" Target="https://www.gov.uk/government/publications/greenhouse-gas-reporting-conversion-factors-2022" TargetMode="External"/><Relationship Id="rId11" Type="http://schemas.openxmlformats.org/officeDocument/2006/relationships/hyperlink" Target="https://www.gov.uk/government/publications/greenhouse-gas-reporting-conversion-factors-2022" TargetMode="External"/><Relationship Id="rId5" Type="http://schemas.openxmlformats.org/officeDocument/2006/relationships/hyperlink" Target="https://www.gov.uk/government/publications/greenhouse-gas-reporting-conversion-factors-2022" TargetMode="External"/><Relationship Id="rId10" Type="http://schemas.openxmlformats.org/officeDocument/2006/relationships/hyperlink" Target="https://www.gov.uk/government/publications/greenhouse-gas-reporting-conversion-factors-2022" TargetMode="External"/><Relationship Id="rId4" Type="http://schemas.openxmlformats.org/officeDocument/2006/relationships/hyperlink" Target="https://www.gov.uk/government/publications/greenhouse-gas-reporting-conversion-factors-2022" TargetMode="External"/><Relationship Id="rId9" Type="http://schemas.openxmlformats.org/officeDocument/2006/relationships/hyperlink" Target="https://www.gov.uk/government/publications/greenhouse-gas-reporting-conversion-factors-2022" TargetMode="External"/><Relationship Id="rId14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ingdemurtas.it/tabelle/potere-calorifico/" TargetMode="External"/><Relationship Id="rId1" Type="http://schemas.openxmlformats.org/officeDocument/2006/relationships/hyperlink" Target="https://www.efficienzaenergetica.enea.it/glossario-efficienza-energetica/lettera-p/potere-calorifico.html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carbonfootprint.com/docs/2022_01_emissions_factors_sources_for_2021_electricity_v1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4A0AE-23F9-4004-AD0F-E2A7AADB4A36}">
  <dimension ref="A1:R12"/>
  <sheetViews>
    <sheetView tabSelected="1" topLeftCell="F1" zoomScale="130" zoomScaleNormal="130" workbookViewId="0">
      <selection activeCell="I12" sqref="I12"/>
    </sheetView>
  </sheetViews>
  <sheetFormatPr defaultRowHeight="14.4" x14ac:dyDescent="0.3"/>
  <cols>
    <col min="2" max="2" width="14.77734375" customWidth="1"/>
    <col min="4" max="4" width="15.33203125" customWidth="1"/>
    <col min="6" max="6" width="11.88671875" customWidth="1"/>
    <col min="9" max="9" width="15" customWidth="1"/>
    <col min="10" max="10" width="11" bestFit="1" customWidth="1"/>
    <col min="15" max="15" width="17.109375" customWidth="1"/>
    <col min="16" max="16" width="11.21875" customWidth="1"/>
    <col min="17" max="17" width="10.77734375" customWidth="1"/>
    <col min="18" max="18" width="18.21875" bestFit="1" customWidth="1"/>
  </cols>
  <sheetData>
    <row r="1" spans="1:18" ht="18.600000000000001" thickBot="1" x14ac:dyDescent="0.4">
      <c r="A1" s="183" t="s">
        <v>6</v>
      </c>
      <c r="B1" s="184"/>
      <c r="C1" s="184"/>
      <c r="D1" s="184"/>
      <c r="E1" s="184"/>
      <c r="F1" s="185"/>
    </row>
    <row r="2" spans="1:18" ht="18.600000000000001" thickBot="1" x14ac:dyDescent="0.4">
      <c r="A2" s="178" t="s">
        <v>0</v>
      </c>
      <c r="B2" s="179"/>
      <c r="C2" s="178" t="s">
        <v>1</v>
      </c>
      <c r="D2" s="179"/>
      <c r="E2" s="178" t="s">
        <v>4</v>
      </c>
      <c r="F2" s="179"/>
      <c r="I2" s="175" t="s">
        <v>179</v>
      </c>
      <c r="J2" s="176"/>
      <c r="K2" s="176"/>
      <c r="L2" s="176"/>
      <c r="M2" s="176"/>
      <c r="N2" s="176"/>
      <c r="O2" s="176"/>
      <c r="P2" s="176"/>
      <c r="Q2" s="176"/>
      <c r="R2" s="177"/>
    </row>
    <row r="3" spans="1:18" ht="30.6" customHeight="1" x14ac:dyDescent="0.3">
      <c r="A3" s="1">
        <v>100</v>
      </c>
      <c r="B3" s="39" t="s">
        <v>2</v>
      </c>
      <c r="C3" s="1">
        <v>100</v>
      </c>
      <c r="D3" s="39" t="s">
        <v>2</v>
      </c>
      <c r="E3" s="1">
        <v>19</v>
      </c>
      <c r="F3" s="39" t="s">
        <v>5</v>
      </c>
      <c r="I3" s="154" t="s">
        <v>188</v>
      </c>
      <c r="J3" s="155" t="s">
        <v>184</v>
      </c>
      <c r="K3" s="155" t="s">
        <v>180</v>
      </c>
      <c r="L3" s="155" t="s">
        <v>181</v>
      </c>
      <c r="M3" s="155" t="s">
        <v>182</v>
      </c>
      <c r="N3" s="155" t="s">
        <v>16</v>
      </c>
      <c r="O3" s="155" t="s">
        <v>183</v>
      </c>
      <c r="P3" s="155" t="s">
        <v>200</v>
      </c>
      <c r="Q3" s="155" t="s">
        <v>186</v>
      </c>
      <c r="R3" s="156" t="s">
        <v>187</v>
      </c>
    </row>
    <row r="4" spans="1:18" ht="30.6" customHeight="1" thickBot="1" x14ac:dyDescent="0.35">
      <c r="A4" s="3">
        <f>A3*1000/100000</f>
        <v>1</v>
      </c>
      <c r="B4" s="47" t="s">
        <v>3</v>
      </c>
      <c r="C4" s="3">
        <f>C3*1000/100000</f>
        <v>1</v>
      </c>
      <c r="D4" s="47" t="s">
        <v>3</v>
      </c>
      <c r="E4" s="3">
        <f>A3/E3</f>
        <v>5.2631578947368425</v>
      </c>
      <c r="F4" s="47" t="s">
        <v>3</v>
      </c>
      <c r="I4" s="157" t="s">
        <v>88</v>
      </c>
      <c r="J4" s="151">
        <f>I5-1</f>
        <v>44796</v>
      </c>
      <c r="K4" s="121" t="s">
        <v>88</v>
      </c>
      <c r="L4" s="152" t="s">
        <v>88</v>
      </c>
      <c r="M4" s="152">
        <v>2091</v>
      </c>
      <c r="N4" s="121" t="s">
        <v>88</v>
      </c>
      <c r="O4" s="121" t="s">
        <v>88</v>
      </c>
      <c r="P4" s="121" t="s">
        <v>88</v>
      </c>
      <c r="Q4" s="121"/>
      <c r="R4" s="158" t="s">
        <v>88</v>
      </c>
    </row>
    <row r="5" spans="1:18" x14ac:dyDescent="0.3">
      <c r="I5" s="159">
        <v>44797</v>
      </c>
      <c r="J5" s="153">
        <f>I6-1</f>
        <v>45054</v>
      </c>
      <c r="K5" s="20">
        <f>J5-I5</f>
        <v>257</v>
      </c>
      <c r="L5" s="152">
        <v>2091</v>
      </c>
      <c r="M5" s="152">
        <v>2217</v>
      </c>
      <c r="N5" s="152">
        <f>M5-L5</f>
        <v>126</v>
      </c>
      <c r="O5" s="164">
        <f>N5/K5</f>
        <v>0.49027237354085601</v>
      </c>
      <c r="P5" s="223">
        <v>17</v>
      </c>
      <c r="Q5" s="165">
        <f>O5*30</f>
        <v>14.70817120622568</v>
      </c>
      <c r="R5" s="166">
        <f>Q5/P5</f>
        <v>0.86518654154268704</v>
      </c>
    </row>
    <row r="6" spans="1:18" ht="15" thickBot="1" x14ac:dyDescent="0.35">
      <c r="I6" s="159">
        <v>45055</v>
      </c>
      <c r="J6" s="153">
        <f>I7-1</f>
        <v>45193</v>
      </c>
      <c r="K6" s="20">
        <f>J6-I6</f>
        <v>138</v>
      </c>
      <c r="L6" s="152">
        <v>2217</v>
      </c>
      <c r="M6" s="152">
        <v>2290</v>
      </c>
      <c r="N6" s="152">
        <f t="shared" ref="N6:N7" si="0">M6-L6</f>
        <v>73</v>
      </c>
      <c r="O6" s="164">
        <f t="shared" ref="O6:O7" si="1">N6/K6</f>
        <v>0.52898550724637683</v>
      </c>
      <c r="P6" s="223">
        <v>18</v>
      </c>
      <c r="Q6" s="165">
        <f t="shared" ref="Q6:Q7" si="2">O6*30</f>
        <v>15.869565217391305</v>
      </c>
      <c r="R6" s="166">
        <f t="shared" ref="R6:R7" si="3">Q6/P6</f>
        <v>0.88164251207729472</v>
      </c>
    </row>
    <row r="7" spans="1:18" ht="18.600000000000001" thickBot="1" x14ac:dyDescent="0.4">
      <c r="A7" s="175" t="s">
        <v>7</v>
      </c>
      <c r="B7" s="176"/>
      <c r="C7" s="176"/>
      <c r="D7" s="176"/>
      <c r="E7" s="176"/>
      <c r="F7" s="177"/>
      <c r="I7" s="159">
        <v>45194</v>
      </c>
      <c r="J7" s="153">
        <f>I8-1</f>
        <v>45400</v>
      </c>
      <c r="K7" s="20">
        <f>J7-I7</f>
        <v>206</v>
      </c>
      <c r="L7" s="152">
        <v>2290</v>
      </c>
      <c r="M7" s="152">
        <v>2417</v>
      </c>
      <c r="N7" s="152">
        <f t="shared" si="0"/>
        <v>127</v>
      </c>
      <c r="O7" s="164">
        <f t="shared" si="1"/>
        <v>0.61650485436893199</v>
      </c>
      <c r="P7" s="223">
        <v>19</v>
      </c>
      <c r="Q7" s="165">
        <f t="shared" si="2"/>
        <v>18.49514563106796</v>
      </c>
      <c r="R7" s="166">
        <f t="shared" si="3"/>
        <v>0.97342871742462944</v>
      </c>
    </row>
    <row r="8" spans="1:18" ht="15" thickBot="1" x14ac:dyDescent="0.35">
      <c r="A8" s="180" t="s">
        <v>0</v>
      </c>
      <c r="B8" s="181"/>
      <c r="C8" s="180" t="s">
        <v>1</v>
      </c>
      <c r="D8" s="182"/>
      <c r="E8" s="178" t="s">
        <v>4</v>
      </c>
      <c r="F8" s="179"/>
      <c r="I8" s="160">
        <v>45401</v>
      </c>
      <c r="J8" s="161" t="s">
        <v>189</v>
      </c>
      <c r="K8" s="161" t="s">
        <v>88</v>
      </c>
      <c r="L8" s="162">
        <v>2417</v>
      </c>
      <c r="M8" s="161" t="s">
        <v>88</v>
      </c>
      <c r="N8" s="162" t="s">
        <v>88</v>
      </c>
      <c r="O8" s="161" t="s">
        <v>88</v>
      </c>
      <c r="P8" s="161">
        <v>20</v>
      </c>
      <c r="Q8" s="161" t="s">
        <v>88</v>
      </c>
      <c r="R8" s="163" t="s">
        <v>88</v>
      </c>
    </row>
    <row r="9" spans="1:18" x14ac:dyDescent="0.3">
      <c r="A9" s="1">
        <v>86</v>
      </c>
      <c r="B9" s="150" t="s">
        <v>2</v>
      </c>
      <c r="C9" s="1">
        <v>86</v>
      </c>
      <c r="D9" s="39" t="s">
        <v>2</v>
      </c>
      <c r="E9" s="1">
        <v>20</v>
      </c>
      <c r="F9" s="39" t="s">
        <v>5</v>
      </c>
    </row>
    <row r="10" spans="1:18" ht="15" thickBot="1" x14ac:dyDescent="0.35">
      <c r="A10" s="3">
        <f>A9*1000/100000</f>
        <v>0.86</v>
      </c>
      <c r="B10" s="4" t="s">
        <v>3</v>
      </c>
      <c r="C10" s="3">
        <f>C9*1000/100000</f>
        <v>0.86</v>
      </c>
      <c r="D10" s="47" t="s">
        <v>3</v>
      </c>
      <c r="E10" s="3">
        <f>A9/E9</f>
        <v>4.3</v>
      </c>
      <c r="F10" s="47" t="s">
        <v>3</v>
      </c>
      <c r="I10" t="s">
        <v>185</v>
      </c>
    </row>
    <row r="12" spans="1:18" x14ac:dyDescent="0.3">
      <c r="I12" t="s">
        <v>201</v>
      </c>
    </row>
  </sheetData>
  <mergeCells count="9">
    <mergeCell ref="A1:F1"/>
    <mergeCell ref="A7:F7"/>
    <mergeCell ref="I2:R2"/>
    <mergeCell ref="E8:F8"/>
    <mergeCell ref="E2:F2"/>
    <mergeCell ref="A8:B8"/>
    <mergeCell ref="C8:D8"/>
    <mergeCell ref="A2:B2"/>
    <mergeCell ref="C2:D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D8307-FE39-4C9A-953C-0B315C7578BD}">
  <dimension ref="A1:I24"/>
  <sheetViews>
    <sheetView zoomScale="85" zoomScaleNormal="85" workbookViewId="0">
      <selection activeCell="H6" sqref="H6"/>
    </sheetView>
  </sheetViews>
  <sheetFormatPr defaultRowHeight="14.4" x14ac:dyDescent="0.3"/>
  <cols>
    <col min="1" max="1" width="25.44140625" customWidth="1"/>
    <col min="2" max="2" width="23.44140625" customWidth="1"/>
    <col min="3" max="3" width="27" customWidth="1"/>
    <col min="4" max="4" width="14.5546875" bestFit="1" customWidth="1"/>
    <col min="5" max="5" width="47.44140625" customWidth="1"/>
    <col min="8" max="9" width="44" bestFit="1" customWidth="1"/>
  </cols>
  <sheetData>
    <row r="1" spans="1:9" x14ac:dyDescent="0.3">
      <c r="A1" s="187" t="s">
        <v>9</v>
      </c>
      <c r="B1" s="187"/>
      <c r="C1" s="187"/>
      <c r="D1" s="187"/>
    </row>
    <row r="2" spans="1:9" x14ac:dyDescent="0.3">
      <c r="A2" s="22" t="s">
        <v>10</v>
      </c>
      <c r="B2" s="22" t="s">
        <v>16</v>
      </c>
      <c r="C2" s="22" t="s">
        <v>17</v>
      </c>
      <c r="D2" s="22" t="s">
        <v>14</v>
      </c>
      <c r="E2" s="25" t="s">
        <v>19</v>
      </c>
      <c r="H2" s="28" t="s">
        <v>26</v>
      </c>
      <c r="I2" s="28" t="s">
        <v>25</v>
      </c>
    </row>
    <row r="3" spans="1:9" x14ac:dyDescent="0.3">
      <c r="A3" s="21" t="s">
        <v>22</v>
      </c>
      <c r="B3" s="23">
        <v>1</v>
      </c>
      <c r="C3" s="24">
        <v>3.6560000000000001</v>
      </c>
      <c r="D3" s="24">
        <f t="shared" ref="D3:D13" si="0">B3*C3</f>
        <v>3.6560000000000001</v>
      </c>
      <c r="E3" s="189">
        <f>SUM(D3:D5)</f>
        <v>134.55599999999998</v>
      </c>
      <c r="H3" s="7">
        <f>D24/2</f>
        <v>185.81199999999998</v>
      </c>
      <c r="I3" s="7">
        <f>E3</f>
        <v>134.55599999999998</v>
      </c>
    </row>
    <row r="4" spans="1:9" x14ac:dyDescent="0.3">
      <c r="A4" s="21" t="s">
        <v>23</v>
      </c>
      <c r="B4" s="23">
        <v>40</v>
      </c>
      <c r="C4" s="24">
        <v>2.38</v>
      </c>
      <c r="D4" s="24">
        <f t="shared" si="0"/>
        <v>95.199999999999989</v>
      </c>
      <c r="E4" s="189"/>
    </row>
    <row r="5" spans="1:9" x14ac:dyDescent="0.3">
      <c r="A5" s="21" t="s">
        <v>24</v>
      </c>
      <c r="B5" s="23">
        <v>15</v>
      </c>
      <c r="C5" s="24">
        <v>2.38</v>
      </c>
      <c r="D5" s="24">
        <f t="shared" si="0"/>
        <v>35.699999999999996</v>
      </c>
      <c r="E5" s="189"/>
      <c r="H5">
        <f>(H3-I3)/H3</f>
        <v>0.27584870729554606</v>
      </c>
    </row>
    <row r="6" spans="1:9" x14ac:dyDescent="0.3">
      <c r="A6" s="21" t="s">
        <v>18</v>
      </c>
      <c r="B6" s="23">
        <v>50</v>
      </c>
      <c r="C6" s="26">
        <v>0.33</v>
      </c>
      <c r="D6" s="24">
        <f t="shared" si="0"/>
        <v>16.5</v>
      </c>
    </row>
    <row r="7" spans="1:9" x14ac:dyDescent="0.3">
      <c r="A7" s="21" t="s">
        <v>20</v>
      </c>
      <c r="B7" s="23">
        <v>20</v>
      </c>
      <c r="C7" s="24">
        <v>0.5</v>
      </c>
      <c r="D7" s="24">
        <f t="shared" si="0"/>
        <v>10</v>
      </c>
    </row>
    <row r="8" spans="1:9" x14ac:dyDescent="0.3">
      <c r="A8" s="21" t="s">
        <v>18</v>
      </c>
      <c r="B8" s="23">
        <v>50</v>
      </c>
      <c r="C8" s="26">
        <v>0.33</v>
      </c>
      <c r="D8" s="24">
        <f t="shared" si="0"/>
        <v>16.5</v>
      </c>
    </row>
    <row r="9" spans="1:9" x14ac:dyDescent="0.3">
      <c r="A9" s="21" t="s">
        <v>20</v>
      </c>
      <c r="B9" s="23">
        <v>10</v>
      </c>
      <c r="C9" s="24">
        <v>0.5</v>
      </c>
      <c r="D9" s="24">
        <f t="shared" si="0"/>
        <v>5</v>
      </c>
    </row>
    <row r="10" spans="1:9" x14ac:dyDescent="0.3">
      <c r="A10" s="21" t="s">
        <v>18</v>
      </c>
      <c r="B10" s="23">
        <v>50</v>
      </c>
      <c r="C10" s="26">
        <v>0.33</v>
      </c>
      <c r="D10" s="24">
        <f t="shared" si="0"/>
        <v>16.5</v>
      </c>
    </row>
    <row r="11" spans="1:9" x14ac:dyDescent="0.3">
      <c r="A11" s="21" t="s">
        <v>20</v>
      </c>
      <c r="B11" s="23">
        <v>10</v>
      </c>
      <c r="C11" s="24">
        <v>0.5</v>
      </c>
      <c r="D11" s="24">
        <f t="shared" si="0"/>
        <v>5</v>
      </c>
    </row>
    <row r="12" spans="1:9" x14ac:dyDescent="0.3">
      <c r="A12" s="21" t="s">
        <v>18</v>
      </c>
      <c r="B12" s="23">
        <v>50</v>
      </c>
      <c r="C12" s="26">
        <v>0.33</v>
      </c>
      <c r="D12" s="24">
        <f t="shared" si="0"/>
        <v>16.5</v>
      </c>
    </row>
    <row r="13" spans="1:9" x14ac:dyDescent="0.3">
      <c r="A13" s="21" t="s">
        <v>20</v>
      </c>
      <c r="B13" s="23">
        <v>20</v>
      </c>
      <c r="C13" s="24">
        <v>0.5</v>
      </c>
      <c r="D13" s="24">
        <f t="shared" si="0"/>
        <v>10</v>
      </c>
    </row>
    <row r="14" spans="1:9" x14ac:dyDescent="0.3">
      <c r="A14" s="186" t="s">
        <v>21</v>
      </c>
      <c r="B14" s="186"/>
      <c r="C14" s="186"/>
      <c r="D14" s="27">
        <f>SUM(D3:D13)</f>
        <v>230.55599999999998</v>
      </c>
    </row>
    <row r="16" spans="1:9" x14ac:dyDescent="0.3">
      <c r="A16" s="188" t="s">
        <v>15</v>
      </c>
      <c r="B16" s="188"/>
      <c r="C16" s="188"/>
      <c r="D16" s="188"/>
    </row>
    <row r="17" spans="1:4" x14ac:dyDescent="0.3">
      <c r="A17" s="22" t="s">
        <v>10</v>
      </c>
      <c r="B17" s="22" t="s">
        <v>16</v>
      </c>
      <c r="C17" s="22" t="s">
        <v>13</v>
      </c>
      <c r="D17" s="22" t="s">
        <v>14</v>
      </c>
    </row>
    <row r="18" spans="1:4" x14ac:dyDescent="0.3">
      <c r="A18" s="21" t="s">
        <v>12</v>
      </c>
      <c r="B18" s="23">
        <v>35</v>
      </c>
      <c r="C18" s="24">
        <v>2.38</v>
      </c>
      <c r="D18" s="24">
        <f t="shared" ref="D18:D23" si="1">B18*C18</f>
        <v>83.3</v>
      </c>
    </row>
    <row r="19" spans="1:4" x14ac:dyDescent="0.3">
      <c r="A19" s="21" t="s">
        <v>11</v>
      </c>
      <c r="B19" s="23">
        <v>4</v>
      </c>
      <c r="C19" s="24">
        <v>3.6560000000000001</v>
      </c>
      <c r="D19" s="24">
        <f t="shared" si="1"/>
        <v>14.624000000000001</v>
      </c>
    </row>
    <row r="20" spans="1:4" x14ac:dyDescent="0.3">
      <c r="A20" s="21" t="s">
        <v>12</v>
      </c>
      <c r="B20" s="23">
        <v>25</v>
      </c>
      <c r="C20" s="24">
        <v>2.38</v>
      </c>
      <c r="D20" s="24">
        <f t="shared" si="1"/>
        <v>59.5</v>
      </c>
    </row>
    <row r="21" spans="1:4" x14ac:dyDescent="0.3">
      <c r="A21" s="21" t="s">
        <v>12</v>
      </c>
      <c r="B21" s="23">
        <v>25</v>
      </c>
      <c r="C21" s="24">
        <v>2.38</v>
      </c>
      <c r="D21" s="24">
        <f t="shared" si="1"/>
        <v>59.5</v>
      </c>
    </row>
    <row r="22" spans="1:4" x14ac:dyDescent="0.3">
      <c r="A22" s="21" t="s">
        <v>12</v>
      </c>
      <c r="B22" s="23">
        <v>50</v>
      </c>
      <c r="C22" s="24">
        <v>2.38</v>
      </c>
      <c r="D22" s="24">
        <f t="shared" si="1"/>
        <v>119</v>
      </c>
    </row>
    <row r="23" spans="1:4" x14ac:dyDescent="0.3">
      <c r="A23" s="21" t="s">
        <v>12</v>
      </c>
      <c r="B23" s="23">
        <v>15</v>
      </c>
      <c r="C23" s="24">
        <v>2.38</v>
      </c>
      <c r="D23" s="24">
        <f t="shared" si="1"/>
        <v>35.699999999999996</v>
      </c>
    </row>
    <row r="24" spans="1:4" x14ac:dyDescent="0.3">
      <c r="A24" s="186" t="s">
        <v>21</v>
      </c>
      <c r="B24" s="186"/>
      <c r="C24" s="186"/>
      <c r="D24" s="27">
        <f>SUM(D18:D23)</f>
        <v>371.62399999999997</v>
      </c>
    </row>
  </sheetData>
  <mergeCells count="5">
    <mergeCell ref="A24:C24"/>
    <mergeCell ref="A1:D1"/>
    <mergeCell ref="A16:D16"/>
    <mergeCell ref="E3:E5"/>
    <mergeCell ref="A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2F7BC-A6C4-4E96-9C54-E0C076BF1F07}">
  <dimension ref="A1:Q25"/>
  <sheetViews>
    <sheetView topLeftCell="D1" zoomScaleNormal="100" workbookViewId="0">
      <selection activeCell="L2" sqref="L2"/>
    </sheetView>
  </sheetViews>
  <sheetFormatPr defaultRowHeight="14.4" x14ac:dyDescent="0.3"/>
  <cols>
    <col min="2" max="2" width="9.77734375" bestFit="1" customWidth="1"/>
    <col min="3" max="5" width="9.109375" bestFit="1" customWidth="1"/>
    <col min="9" max="9" width="10.109375" customWidth="1"/>
    <col min="10" max="10" width="11.33203125" customWidth="1"/>
    <col min="11" max="11" width="12.88671875" customWidth="1"/>
    <col min="12" max="13" width="13" customWidth="1"/>
    <col min="15" max="15" width="13.33203125" customWidth="1"/>
    <col min="16" max="16" width="18.33203125" customWidth="1"/>
    <col min="17" max="17" width="26" customWidth="1"/>
  </cols>
  <sheetData>
    <row r="1" spans="1:17" ht="47.25" customHeight="1" x14ac:dyDescent="0.3">
      <c r="B1" s="31" t="s">
        <v>191</v>
      </c>
      <c r="C1" s="31" t="s">
        <v>192</v>
      </c>
      <c r="D1" s="31" t="s">
        <v>193</v>
      </c>
      <c r="E1" s="31" t="s">
        <v>194</v>
      </c>
      <c r="F1" s="31" t="s">
        <v>190</v>
      </c>
      <c r="G1" s="31"/>
      <c r="H1" s="31"/>
      <c r="I1" t="s">
        <v>30</v>
      </c>
      <c r="J1" s="31" t="s">
        <v>31</v>
      </c>
      <c r="K1" s="31" t="s">
        <v>32</v>
      </c>
      <c r="L1" s="31" t="s">
        <v>33</v>
      </c>
      <c r="M1" s="31" t="s">
        <v>159</v>
      </c>
      <c r="N1" s="31" t="s">
        <v>34</v>
      </c>
      <c r="O1" s="110" t="s">
        <v>146</v>
      </c>
      <c r="P1" s="112" t="s">
        <v>147</v>
      </c>
      <c r="Q1" s="31"/>
    </row>
    <row r="2" spans="1:17" x14ac:dyDescent="0.3">
      <c r="A2" t="s">
        <v>43</v>
      </c>
      <c r="B2" s="168">
        <v>9.0754300000000008</v>
      </c>
      <c r="C2" s="168">
        <v>0</v>
      </c>
      <c r="D2" s="168">
        <f>J2*0.47</f>
        <v>1.5171600000000001</v>
      </c>
      <c r="E2" s="168">
        <f>D2+K2</f>
        <v>1.5171600000000001</v>
      </c>
      <c r="F2" s="167">
        <f>E2/N2</f>
        <v>0.16717224418016557</v>
      </c>
      <c r="G2" s="167"/>
      <c r="I2" t="s">
        <v>43</v>
      </c>
      <c r="J2">
        <f>(731+2497)*10^-3</f>
        <v>3.2280000000000002</v>
      </c>
      <c r="K2">
        <v>0</v>
      </c>
      <c r="L2">
        <v>5.8474300000000001</v>
      </c>
      <c r="M2">
        <v>0</v>
      </c>
      <c r="N2">
        <f>SUM(J2:L2)</f>
        <v>9.0754300000000008</v>
      </c>
      <c r="O2" s="190">
        <f>SUM(N2:N3)</f>
        <v>15.632630000000001</v>
      </c>
      <c r="P2" s="190">
        <f>SUM(K2:K3)</f>
        <v>0</v>
      </c>
      <c r="Q2" s="192">
        <v>0</v>
      </c>
    </row>
    <row r="3" spans="1:17" x14ac:dyDescent="0.3">
      <c r="A3" t="s">
        <v>50</v>
      </c>
      <c r="B3" s="168">
        <v>6.5571999999999999</v>
      </c>
      <c r="C3" s="168">
        <v>0</v>
      </c>
      <c r="D3" s="168">
        <f t="shared" ref="D3:D7" si="0">J3*0.47</f>
        <v>1.6750799999999999</v>
      </c>
      <c r="E3" s="168">
        <f t="shared" ref="E3:E7" si="1">D3+K3</f>
        <v>1.6750799999999999</v>
      </c>
      <c r="F3" s="167">
        <f t="shared" ref="F3:F7" si="2">E3/N3</f>
        <v>0.25545659732812787</v>
      </c>
      <c r="G3" s="167"/>
      <c r="I3" t="s">
        <v>50</v>
      </c>
      <c r="J3">
        <f>(1629+1935)*10^-3</f>
        <v>3.5640000000000001</v>
      </c>
      <c r="K3">
        <v>0</v>
      </c>
      <c r="L3">
        <v>2.9931999999999999</v>
      </c>
      <c r="M3">
        <v>0</v>
      </c>
      <c r="N3">
        <f>SUM(J3:L3)</f>
        <v>6.5571999999999999</v>
      </c>
      <c r="O3" s="190"/>
      <c r="P3" s="190"/>
      <c r="Q3" s="190"/>
    </row>
    <row r="4" spans="1:17" x14ac:dyDescent="0.3">
      <c r="A4" t="s">
        <v>53</v>
      </c>
      <c r="B4" s="168">
        <v>3.0449999999999999</v>
      </c>
      <c r="C4" s="168">
        <f>590*10^-3</f>
        <v>0.59</v>
      </c>
      <c r="D4" s="168">
        <f t="shared" si="0"/>
        <v>1.15385</v>
      </c>
      <c r="E4" s="168">
        <f t="shared" si="1"/>
        <v>1.7438500000000001</v>
      </c>
      <c r="F4" s="167">
        <f t="shared" si="2"/>
        <v>0.57269293924466347</v>
      </c>
      <c r="G4" s="167"/>
      <c r="I4" t="s">
        <v>53</v>
      </c>
      <c r="J4">
        <f>(547+902+1006)*10^-3</f>
        <v>2.4550000000000001</v>
      </c>
      <c r="K4">
        <f>590*10^-3</f>
        <v>0.59</v>
      </c>
      <c r="L4">
        <v>0</v>
      </c>
      <c r="M4">
        <v>0</v>
      </c>
      <c r="N4">
        <f t="shared" ref="N3:N7" si="3">SUM(J4:L4)</f>
        <v>3.0449999999999999</v>
      </c>
    </row>
    <row r="5" spans="1:17" x14ac:dyDescent="0.3">
      <c r="A5" t="s">
        <v>56</v>
      </c>
      <c r="B5" s="168">
        <v>13.723000000000001</v>
      </c>
      <c r="C5" s="168">
        <f>(932+1242+1220)*10^-3</f>
        <v>3.3940000000000001</v>
      </c>
      <c r="D5" s="168">
        <f t="shared" si="0"/>
        <v>4.8546300000000002</v>
      </c>
      <c r="E5" s="168">
        <f t="shared" si="1"/>
        <v>8.2486300000000004</v>
      </c>
      <c r="F5" s="167">
        <f t="shared" si="2"/>
        <v>0.60108066749253075</v>
      </c>
      <c r="G5" s="167"/>
      <c r="I5" t="s">
        <v>56</v>
      </c>
      <c r="J5">
        <f>(5479+3937+913)*10^-3</f>
        <v>10.329000000000001</v>
      </c>
      <c r="K5">
        <f>(932+1242+1220)*10^-3</f>
        <v>3.3940000000000001</v>
      </c>
      <c r="L5">
        <v>0</v>
      </c>
      <c r="M5">
        <v>0</v>
      </c>
      <c r="N5">
        <f t="shared" si="3"/>
        <v>13.723000000000001</v>
      </c>
    </row>
    <row r="6" spans="1:17" x14ac:dyDescent="0.3">
      <c r="A6" t="s">
        <v>58</v>
      </c>
      <c r="B6" s="168">
        <v>17.338646000000004</v>
      </c>
      <c r="C6" s="168">
        <f>(1209.67+1240.97+1676.59)*10^-3</f>
        <v>4.1272300000000008</v>
      </c>
      <c r="D6" s="168">
        <f t="shared" si="0"/>
        <v>5.4109361000000007</v>
      </c>
      <c r="E6" s="168">
        <f t="shared" si="1"/>
        <v>9.5381661000000015</v>
      </c>
      <c r="F6" s="167">
        <f t="shared" si="2"/>
        <v>0.60986262664755309</v>
      </c>
      <c r="G6" s="167"/>
      <c r="I6" t="s">
        <v>58</v>
      </c>
      <c r="J6">
        <f>(5869.33+3388.55+2254.75)*10^-3</f>
        <v>11.512630000000001</v>
      </c>
      <c r="K6">
        <f>(1209.67+1240.97+1676.59)*10^-3</f>
        <v>4.1272300000000008</v>
      </c>
      <c r="L6">
        <v>0</v>
      </c>
      <c r="M6">
        <f>(61.091+810.469+827.226)*10^-3</f>
        <v>1.6987860000000001</v>
      </c>
      <c r="N6">
        <f t="shared" si="3"/>
        <v>15.639860000000002</v>
      </c>
      <c r="O6" s="190">
        <f>SUM(N6:N7)</f>
        <v>24.280520000000003</v>
      </c>
      <c r="P6" s="190">
        <f>SUM(K6:K7)</f>
        <v>10.020310000000002</v>
      </c>
      <c r="Q6" s="191">
        <f>P6/O6</f>
        <v>0.4126892669514492</v>
      </c>
    </row>
    <row r="7" spans="1:17" x14ac:dyDescent="0.3">
      <c r="A7" t="s">
        <v>145</v>
      </c>
      <c r="B7" s="168">
        <v>10.518911000000001</v>
      </c>
      <c r="C7" s="168">
        <f>(2010.46+1900.19+1982.43)*10^-3</f>
        <v>5.8930800000000003</v>
      </c>
      <c r="D7" s="168">
        <f t="shared" si="0"/>
        <v>1.2913626</v>
      </c>
      <c r="E7" s="168">
        <f t="shared" si="1"/>
        <v>7.1844426000000006</v>
      </c>
      <c r="F7" s="167">
        <f t="shared" si="2"/>
        <v>0.83146919332550984</v>
      </c>
      <c r="G7" s="167"/>
      <c r="I7" t="s">
        <v>145</v>
      </c>
      <c r="J7">
        <f>(1291.06+1077.25+379.27)*10^-3</f>
        <v>2.7475800000000001</v>
      </c>
      <c r="K7">
        <f>(2010.46+1900.19+1982.43)*10^-3</f>
        <v>5.8930800000000003</v>
      </c>
      <c r="L7">
        <v>0</v>
      </c>
      <c r="M7">
        <f>(730.053+570.758+577.44)*10^-3</f>
        <v>1.8782510000000003</v>
      </c>
      <c r="N7">
        <f t="shared" si="3"/>
        <v>8.6406600000000005</v>
      </c>
      <c r="O7" s="190"/>
      <c r="P7" s="190"/>
      <c r="Q7" s="191"/>
    </row>
    <row r="8" spans="1:17" ht="72" x14ac:dyDescent="0.3">
      <c r="Q8" s="111" t="s">
        <v>160</v>
      </c>
    </row>
    <row r="14" spans="1:17" x14ac:dyDescent="0.3">
      <c r="J14" s="59"/>
    </row>
    <row r="25" ht="21" customHeight="1" x14ac:dyDescent="0.3"/>
  </sheetData>
  <mergeCells count="6">
    <mergeCell ref="P2:P3"/>
    <mergeCell ref="P6:P7"/>
    <mergeCell ref="Q6:Q7"/>
    <mergeCell ref="Q2:Q3"/>
    <mergeCell ref="O2:O3"/>
    <mergeCell ref="O6:O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FBC1-EEDF-49FA-A7E3-10770178E30D}">
  <dimension ref="A1:AE38"/>
  <sheetViews>
    <sheetView zoomScale="85" zoomScaleNormal="85" workbookViewId="0">
      <selection activeCell="B10" sqref="B10"/>
    </sheetView>
  </sheetViews>
  <sheetFormatPr defaultRowHeight="14.4" x14ac:dyDescent="0.3"/>
  <cols>
    <col min="1" max="1" width="36.6640625" customWidth="1"/>
    <col min="2" max="2" width="14.5546875" customWidth="1"/>
    <col min="3" max="3" width="16.6640625" customWidth="1"/>
    <col min="4" max="6" width="14.5546875" customWidth="1"/>
    <col min="7" max="7" width="7.5546875" customWidth="1"/>
    <col min="8" max="8" width="11.109375" style="31" customWidth="1"/>
    <col min="9" max="9" width="11.5546875" style="31" bestFit="1" customWidth="1"/>
    <col min="10" max="10" width="16" style="31" customWidth="1"/>
    <col min="11" max="11" width="11.109375" style="31" customWidth="1"/>
    <col min="12" max="12" width="16.6640625" style="31" customWidth="1"/>
    <col min="13" max="13" width="14.109375" style="31" customWidth="1"/>
    <col min="14" max="15" width="11.109375" style="31" customWidth="1"/>
    <col min="16" max="16" width="19.5546875" style="31" customWidth="1"/>
    <col min="17" max="17" width="13.33203125" style="31" customWidth="1"/>
    <col min="18" max="19" width="11.109375" style="31" customWidth="1"/>
    <col min="20" max="20" width="11" customWidth="1"/>
    <col min="21" max="21" width="12.109375" customWidth="1"/>
    <col min="22" max="22" width="11.6640625" customWidth="1"/>
    <col min="23" max="23" width="14.33203125" customWidth="1"/>
    <col min="24" max="24" width="15.6640625" customWidth="1"/>
    <col min="25" max="25" width="16.109375" customWidth="1"/>
  </cols>
  <sheetData>
    <row r="1" spans="1:31" ht="15" customHeight="1" thickBot="1" x14ac:dyDescent="0.35">
      <c r="A1" s="200" t="s">
        <v>90</v>
      </c>
      <c r="B1" s="198"/>
      <c r="C1" s="198"/>
      <c r="D1" s="198"/>
      <c r="E1" s="198"/>
      <c r="F1" s="199"/>
      <c r="H1" s="201" t="s">
        <v>152</v>
      </c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202"/>
      <c r="T1" s="202"/>
      <c r="U1" s="203"/>
    </row>
    <row r="2" spans="1:31" ht="33" customHeight="1" thickBot="1" x14ac:dyDescent="0.35">
      <c r="A2" s="78" t="s">
        <v>91</v>
      </c>
      <c r="B2" s="79" t="s">
        <v>92</v>
      </c>
      <c r="C2" s="79" t="s">
        <v>93</v>
      </c>
      <c r="D2" s="79" t="s">
        <v>94</v>
      </c>
      <c r="E2" s="79" t="s">
        <v>95</v>
      </c>
      <c r="F2" s="79" t="s">
        <v>96</v>
      </c>
      <c r="H2" s="114" t="s">
        <v>97</v>
      </c>
      <c r="I2" s="114" t="s">
        <v>98</v>
      </c>
      <c r="J2" s="114" t="s">
        <v>99</v>
      </c>
      <c r="K2" s="114" t="s">
        <v>100</v>
      </c>
      <c r="L2" s="114" t="s">
        <v>101</v>
      </c>
      <c r="M2" s="114" t="s">
        <v>102</v>
      </c>
      <c r="N2" s="114" t="s">
        <v>103</v>
      </c>
      <c r="O2" s="209"/>
      <c r="P2" s="210"/>
      <c r="Q2" s="114" t="s">
        <v>104</v>
      </c>
      <c r="R2" s="114" t="s">
        <v>105</v>
      </c>
      <c r="S2" s="114" t="s">
        <v>106</v>
      </c>
      <c r="T2" s="114" t="s">
        <v>107</v>
      </c>
      <c r="U2" s="114" t="s">
        <v>108</v>
      </c>
      <c r="V2" s="81"/>
      <c r="W2" s="81"/>
      <c r="X2" s="81"/>
      <c r="Y2" s="81"/>
      <c r="Z2" s="81"/>
      <c r="AA2" s="81"/>
      <c r="AB2" s="81"/>
      <c r="AC2" s="81"/>
      <c r="AD2" s="82"/>
      <c r="AE2" s="82"/>
    </row>
    <row r="3" spans="1:31" ht="29.4" thickBot="1" x14ac:dyDescent="0.35">
      <c r="A3" s="83" t="s">
        <v>109</v>
      </c>
      <c r="B3" s="84" t="s">
        <v>110</v>
      </c>
      <c r="C3" s="85" t="s">
        <v>111</v>
      </c>
      <c r="D3" s="86">
        <f>SUM(S3)</f>
        <v>0</v>
      </c>
      <c r="E3" s="87">
        <f ca="1">D3/D5</f>
        <v>0</v>
      </c>
      <c r="F3" s="84"/>
      <c r="H3" s="121" t="s">
        <v>112</v>
      </c>
      <c r="I3" s="121" t="s">
        <v>113</v>
      </c>
      <c r="J3" s="121" t="s">
        <v>114</v>
      </c>
      <c r="K3" s="121" t="s">
        <v>115</v>
      </c>
      <c r="L3" s="121">
        <v>0</v>
      </c>
      <c r="M3" s="118" t="s">
        <v>116</v>
      </c>
      <c r="N3" s="126">
        <v>2.0157400000000001</v>
      </c>
      <c r="O3" s="211"/>
      <c r="P3" s="212"/>
      <c r="Q3" s="118" t="s">
        <v>117</v>
      </c>
      <c r="R3" s="127">
        <v>1</v>
      </c>
      <c r="S3" s="128">
        <f>N3*L3/1000</f>
        <v>0</v>
      </c>
      <c r="T3" s="120" t="s">
        <v>118</v>
      </c>
      <c r="U3" s="115"/>
      <c r="V3" s="90"/>
      <c r="W3" s="90"/>
      <c r="X3" s="90"/>
      <c r="Y3" s="90"/>
      <c r="Z3" s="91"/>
      <c r="AA3" s="92"/>
      <c r="AB3" s="93"/>
      <c r="AC3" s="92"/>
    </row>
    <row r="4" spans="1:31" ht="29.4" thickBot="1" x14ac:dyDescent="0.35">
      <c r="A4" s="83" t="s">
        <v>109</v>
      </c>
      <c r="B4" s="84" t="s">
        <v>119</v>
      </c>
      <c r="C4" s="85" t="s">
        <v>111</v>
      </c>
      <c r="D4" s="86">
        <f>SUM(X9:X17)</f>
        <v>5.8012521960000001</v>
      </c>
      <c r="E4" s="87">
        <f ca="1">D4/D5</f>
        <v>1</v>
      </c>
      <c r="F4" s="84"/>
      <c r="H4" s="121" t="s">
        <v>120</v>
      </c>
      <c r="I4" s="121" t="s">
        <v>121</v>
      </c>
      <c r="J4" s="121" t="s">
        <v>114</v>
      </c>
      <c r="K4" s="121" t="s">
        <v>115</v>
      </c>
      <c r="L4" s="129">
        <f>P18</f>
        <v>1546.87</v>
      </c>
      <c r="M4" s="118" t="s">
        <v>122</v>
      </c>
      <c r="N4" s="126">
        <v>2.6987999999999999</v>
      </c>
      <c r="O4" s="211"/>
      <c r="P4" s="212"/>
      <c r="Q4" s="118" t="s">
        <v>123</v>
      </c>
      <c r="R4" s="130">
        <v>1</v>
      </c>
      <c r="S4" s="128">
        <f>N4*L4/1000</f>
        <v>4.1746927559999998</v>
      </c>
      <c r="T4" s="120" t="s">
        <v>118</v>
      </c>
      <c r="U4" s="131"/>
      <c r="V4" s="90"/>
      <c r="W4" s="90"/>
      <c r="X4" s="90"/>
      <c r="Y4" s="90"/>
      <c r="Z4" s="91"/>
      <c r="AA4" s="92"/>
      <c r="AB4" s="93"/>
      <c r="AC4" s="92"/>
    </row>
    <row r="5" spans="1:31" ht="30.75" customHeight="1" thickBot="1" x14ac:dyDescent="0.35">
      <c r="A5" s="95" t="s">
        <v>124</v>
      </c>
      <c r="B5" s="96"/>
      <c r="C5" s="96"/>
      <c r="D5" s="97">
        <f ca="1">SUM(D3:D5)</f>
        <v>5.8012521960000001</v>
      </c>
      <c r="E5" s="98">
        <f ca="1">SUM(E3:E5)</f>
        <v>1</v>
      </c>
      <c r="F5" s="96"/>
      <c r="H5" s="121" t="s">
        <v>144</v>
      </c>
      <c r="I5" s="121" t="s">
        <v>121</v>
      </c>
      <c r="J5" s="121" t="s">
        <v>114</v>
      </c>
      <c r="K5" s="121" t="s">
        <v>115</v>
      </c>
      <c r="L5" s="129">
        <f>P19</f>
        <v>695.2</v>
      </c>
      <c r="M5" s="118" t="s">
        <v>122</v>
      </c>
      <c r="N5" s="126">
        <v>2.34</v>
      </c>
      <c r="O5" s="213"/>
      <c r="P5" s="214"/>
      <c r="Q5" s="118" t="s">
        <v>123</v>
      </c>
      <c r="R5" s="130">
        <v>1</v>
      </c>
      <c r="S5" s="128">
        <f t="shared" ref="S5" si="0">N5*L5/1000</f>
        <v>1.626768</v>
      </c>
      <c r="T5" s="120" t="s">
        <v>118</v>
      </c>
      <c r="U5" s="132"/>
      <c r="V5" s="90"/>
      <c r="W5" s="90"/>
      <c r="X5" s="90"/>
      <c r="Y5" s="90"/>
      <c r="Z5" s="91"/>
      <c r="AA5" s="92"/>
      <c r="AB5" s="93"/>
      <c r="AC5" s="92"/>
    </row>
    <row r="6" spans="1:31" ht="15" thickBot="1" x14ac:dyDescent="0.35">
      <c r="M6" s="88"/>
      <c r="N6" s="88"/>
      <c r="O6" s="88"/>
      <c r="P6" s="88"/>
      <c r="Q6" s="88"/>
      <c r="R6" s="88"/>
      <c r="S6" s="88"/>
      <c r="T6" s="90"/>
      <c r="U6" s="99"/>
      <c r="V6" s="90"/>
      <c r="W6" s="90"/>
      <c r="X6" s="90"/>
      <c r="Y6" s="90"/>
      <c r="Z6" s="91"/>
      <c r="AA6" s="92"/>
      <c r="AB6" s="93"/>
      <c r="AC6" s="92"/>
    </row>
    <row r="7" spans="1:31" ht="15" thickBot="1" x14ac:dyDescent="0.35">
      <c r="A7" s="204" t="s">
        <v>177</v>
      </c>
      <c r="B7" s="205"/>
      <c r="C7" s="205"/>
      <c r="D7" s="206"/>
      <c r="E7" s="206"/>
      <c r="F7" s="207"/>
      <c r="H7" s="208" t="s">
        <v>125</v>
      </c>
      <c r="I7" s="208"/>
      <c r="J7" s="208"/>
      <c r="K7" s="208"/>
      <c r="L7" s="208"/>
      <c r="M7" s="208"/>
      <c r="N7" s="208"/>
      <c r="O7" s="208"/>
      <c r="P7" s="208"/>
      <c r="Q7" s="208"/>
      <c r="R7" s="208"/>
      <c r="S7" s="208"/>
      <c r="T7" s="208"/>
      <c r="U7" s="208"/>
      <c r="V7" s="208"/>
      <c r="W7" s="208"/>
      <c r="X7" s="208"/>
      <c r="Y7" s="208"/>
      <c r="Z7" s="91"/>
      <c r="AA7" s="92"/>
      <c r="AB7" s="93"/>
      <c r="AC7" s="92"/>
    </row>
    <row r="8" spans="1:31" ht="72.599999999999994" thickBot="1" x14ac:dyDescent="0.35">
      <c r="A8" s="146" t="s">
        <v>91</v>
      </c>
      <c r="B8" s="147" t="s">
        <v>94</v>
      </c>
      <c r="C8" s="102"/>
      <c r="D8" s="31"/>
      <c r="E8" s="31"/>
      <c r="F8" s="31"/>
      <c r="H8" s="113" t="s">
        <v>100</v>
      </c>
      <c r="I8" s="113" t="s">
        <v>126</v>
      </c>
      <c r="J8" s="113" t="s">
        <v>127</v>
      </c>
      <c r="K8" s="113" t="s">
        <v>128</v>
      </c>
      <c r="L8" s="113" t="s">
        <v>129</v>
      </c>
      <c r="M8" s="113" t="s">
        <v>130</v>
      </c>
      <c r="N8" s="113" t="s">
        <v>148</v>
      </c>
      <c r="O8" s="113" t="s">
        <v>154</v>
      </c>
      <c r="P8" s="125" t="s">
        <v>149</v>
      </c>
      <c r="Q8" s="113" t="s">
        <v>131</v>
      </c>
      <c r="R8" s="113" t="s">
        <v>132</v>
      </c>
      <c r="S8" s="113" t="s">
        <v>133</v>
      </c>
      <c r="T8" s="113" t="s">
        <v>103</v>
      </c>
      <c r="U8" s="113" t="s">
        <v>104</v>
      </c>
      <c r="V8" s="113" t="s">
        <v>134</v>
      </c>
      <c r="W8" s="113" t="s">
        <v>155</v>
      </c>
      <c r="X8" s="125" t="s">
        <v>153</v>
      </c>
      <c r="Y8" s="114" t="s">
        <v>107</v>
      </c>
      <c r="Z8" s="91"/>
      <c r="AA8" s="92"/>
      <c r="AB8" s="93"/>
      <c r="AC8" s="92"/>
    </row>
    <row r="9" spans="1:31" ht="14.4" customHeight="1" x14ac:dyDescent="0.3">
      <c r="A9" s="14" t="s">
        <v>156</v>
      </c>
      <c r="B9" s="103">
        <f ca="1">D5</f>
        <v>5.8012521960000001</v>
      </c>
      <c r="C9" s="2"/>
      <c r="H9" s="115" t="s">
        <v>115</v>
      </c>
      <c r="I9" s="115" t="s">
        <v>135</v>
      </c>
      <c r="J9" s="115" t="s">
        <v>136</v>
      </c>
      <c r="K9" s="115" t="s">
        <v>137</v>
      </c>
      <c r="L9" s="115" t="s">
        <v>138</v>
      </c>
      <c r="M9" s="115" t="s">
        <v>120</v>
      </c>
      <c r="N9" s="20">
        <v>117.74</v>
      </c>
      <c r="O9" s="20">
        <f>N9/2</f>
        <v>58.87</v>
      </c>
      <c r="P9" s="20">
        <v>53.29</v>
      </c>
      <c r="Q9" s="115"/>
      <c r="R9" s="115"/>
      <c r="S9" s="116"/>
      <c r="T9" s="117">
        <v>2.6987999999999999</v>
      </c>
      <c r="U9" s="118" t="s">
        <v>123</v>
      </c>
      <c r="V9" s="119">
        <f>IF(L9="Fuel-based", N9*T9/1000,IF(L9="Distance-based",Q9*T9/1000,R9*T9/1000))</f>
        <v>0.317756712</v>
      </c>
      <c r="W9" s="119">
        <f>V9/2</f>
        <v>0.158878356</v>
      </c>
      <c r="X9" s="119">
        <f t="shared" ref="X9:X15" si="1">IF(L9="Fuel-based", P9*T9/1000,IF(L9="Distance-based",Q9*T9/1000,R9*T9/1000))</f>
        <v>0.143819052</v>
      </c>
      <c r="Y9" s="120" t="s">
        <v>118</v>
      </c>
      <c r="Z9" s="91"/>
      <c r="AA9" s="92"/>
      <c r="AB9" s="93"/>
      <c r="AC9" s="92"/>
    </row>
    <row r="10" spans="1:31" ht="15" thickBot="1" x14ac:dyDescent="0.35">
      <c r="A10" s="14" t="s">
        <v>176</v>
      </c>
      <c r="B10" s="103">
        <f>'Scope 2'!P3</f>
        <v>6.5107840796999996</v>
      </c>
      <c r="C10" s="2"/>
      <c r="H10" s="115" t="s">
        <v>115</v>
      </c>
      <c r="I10" s="115" t="s">
        <v>135</v>
      </c>
      <c r="J10" s="121" t="s">
        <v>136</v>
      </c>
      <c r="K10" s="115" t="s">
        <v>137</v>
      </c>
      <c r="L10" s="115" t="s">
        <v>138</v>
      </c>
      <c r="M10" s="115" t="s">
        <v>120</v>
      </c>
      <c r="N10" s="20">
        <v>599.07000000000005</v>
      </c>
      <c r="O10" s="20">
        <f t="shared" ref="O10:O16" si="2">N10/2</f>
        <v>299.53500000000003</v>
      </c>
      <c r="P10" s="20">
        <v>113.79</v>
      </c>
      <c r="Q10" s="115"/>
      <c r="R10" s="118"/>
      <c r="S10" s="118"/>
      <c r="T10" s="117">
        <v>2.6987999999999999</v>
      </c>
      <c r="U10" s="118" t="s">
        <v>123</v>
      </c>
      <c r="V10" s="119">
        <f t="shared" ref="V10:V17" si="3">IF(L10="Fuel-based", N10*T10/1000,IF(L10="Distance-based",Q10*T10/1000,R10*T10/1000))</f>
        <v>1.6167701160000001</v>
      </c>
      <c r="W10" s="119">
        <f t="shared" ref="W10:W17" si="4">V10/2</f>
        <v>0.80838505800000005</v>
      </c>
      <c r="X10" s="119">
        <f t="shared" si="1"/>
        <v>0.30709645200000002</v>
      </c>
      <c r="Y10" s="120" t="s">
        <v>118</v>
      </c>
      <c r="Z10" s="91"/>
      <c r="AA10" s="92"/>
      <c r="AB10" s="93"/>
      <c r="AC10" s="92"/>
    </row>
    <row r="11" spans="1:31" ht="15" thickBot="1" x14ac:dyDescent="0.35">
      <c r="A11" s="11" t="s">
        <v>140</v>
      </c>
      <c r="B11" s="104"/>
      <c r="C11" s="148" t="s">
        <v>86</v>
      </c>
      <c r="H11" s="115" t="s">
        <v>115</v>
      </c>
      <c r="I11" s="115" t="s">
        <v>135</v>
      </c>
      <c r="J11" s="121" t="s">
        <v>136</v>
      </c>
      <c r="K11" s="115" t="s">
        <v>137</v>
      </c>
      <c r="L11" s="115" t="s">
        <v>138</v>
      </c>
      <c r="M11" s="115" t="s">
        <v>120</v>
      </c>
      <c r="N11" s="122">
        <v>1842.04</v>
      </c>
      <c r="O11" s="20">
        <f t="shared" si="2"/>
        <v>921.02</v>
      </c>
      <c r="P11" s="122">
        <v>690.23</v>
      </c>
      <c r="Q11" s="115"/>
      <c r="R11" s="118"/>
      <c r="S11" s="118"/>
      <c r="T11" s="117">
        <v>2.6987999999999999</v>
      </c>
      <c r="U11" s="118" t="s">
        <v>123</v>
      </c>
      <c r="V11" s="119">
        <f t="shared" si="3"/>
        <v>4.9712975520000002</v>
      </c>
      <c r="W11" s="119">
        <f t="shared" si="4"/>
        <v>2.4856487760000001</v>
      </c>
      <c r="X11" s="119">
        <f t="shared" si="1"/>
        <v>1.862792724</v>
      </c>
      <c r="Y11" s="120" t="s">
        <v>118</v>
      </c>
      <c r="Z11" s="91"/>
      <c r="AA11" s="92"/>
      <c r="AB11" s="93"/>
      <c r="AC11" s="92"/>
    </row>
    <row r="12" spans="1:31" ht="15" thickBot="1" x14ac:dyDescent="0.35">
      <c r="A12" s="16" t="s">
        <v>141</v>
      </c>
      <c r="B12" s="5"/>
      <c r="C12" s="149" t="s">
        <v>142</v>
      </c>
      <c r="H12" s="115" t="s">
        <v>115</v>
      </c>
      <c r="I12" s="115" t="s">
        <v>135</v>
      </c>
      <c r="J12" s="121" t="s">
        <v>136</v>
      </c>
      <c r="K12" s="115" t="s">
        <v>137</v>
      </c>
      <c r="L12" s="115" t="s">
        <v>138</v>
      </c>
      <c r="M12" s="115" t="s">
        <v>120</v>
      </c>
      <c r="N12" s="20">
        <v>744.27</v>
      </c>
      <c r="O12" s="20">
        <f t="shared" si="2"/>
        <v>372.13499999999999</v>
      </c>
      <c r="P12" s="20">
        <v>131.29</v>
      </c>
      <c r="Q12" s="115"/>
      <c r="R12" s="118"/>
      <c r="S12" s="118"/>
      <c r="T12" s="117">
        <v>2.6987999999999999</v>
      </c>
      <c r="U12" s="118" t="s">
        <v>123</v>
      </c>
      <c r="V12" s="119">
        <f t="shared" si="3"/>
        <v>2.008635876</v>
      </c>
      <c r="W12" s="119">
        <f t="shared" si="4"/>
        <v>1.004317938</v>
      </c>
      <c r="X12" s="119">
        <f t="shared" si="1"/>
        <v>0.35432545199999999</v>
      </c>
      <c r="Y12" s="120" t="s">
        <v>118</v>
      </c>
      <c r="Z12" s="91"/>
      <c r="AA12" s="92"/>
      <c r="AB12" s="93"/>
      <c r="AC12" s="92"/>
    </row>
    <row r="13" spans="1:31" ht="15" thickBot="1" x14ac:dyDescent="0.35">
      <c r="H13" s="115" t="s">
        <v>115</v>
      </c>
      <c r="I13" s="115" t="s">
        <v>135</v>
      </c>
      <c r="J13" s="121" t="s">
        <v>136</v>
      </c>
      <c r="K13" s="115" t="s">
        <v>137</v>
      </c>
      <c r="L13" s="115" t="s">
        <v>138</v>
      </c>
      <c r="M13" s="115" t="s">
        <v>120</v>
      </c>
      <c r="N13" s="122">
        <v>1625.83</v>
      </c>
      <c r="O13" s="20">
        <f t="shared" si="2"/>
        <v>812.91499999999996</v>
      </c>
      <c r="P13" s="122">
        <v>220.12</v>
      </c>
      <c r="Q13" s="115"/>
      <c r="R13" s="121"/>
      <c r="S13" s="121"/>
      <c r="T13" s="117">
        <v>2.6987999999999999</v>
      </c>
      <c r="U13" s="118" t="s">
        <v>123</v>
      </c>
      <c r="V13" s="119">
        <f>IF(L13="Fuel-based", N13*T13/1000,IF(L13="Distance-based",Q13*T13/1000,R13*T13/1000))</f>
        <v>4.3877900039999993</v>
      </c>
      <c r="W13" s="119">
        <f t="shared" si="4"/>
        <v>2.1938950019999996</v>
      </c>
      <c r="X13" s="119">
        <f t="shared" si="1"/>
        <v>0.594059856</v>
      </c>
      <c r="Y13" s="120" t="s">
        <v>118</v>
      </c>
      <c r="Z13" s="91"/>
      <c r="AA13" s="92"/>
      <c r="AB13" s="93"/>
      <c r="AC13" s="92"/>
    </row>
    <row r="14" spans="1:31" ht="15" thickBot="1" x14ac:dyDescent="0.35">
      <c r="A14" s="196" t="s">
        <v>178</v>
      </c>
      <c r="B14" s="197"/>
      <c r="C14" s="197"/>
      <c r="D14" s="198"/>
      <c r="E14" s="198"/>
      <c r="F14" s="199"/>
      <c r="H14" s="115" t="s">
        <v>115</v>
      </c>
      <c r="I14" s="115" t="s">
        <v>135</v>
      </c>
      <c r="J14" s="121" t="s">
        <v>136</v>
      </c>
      <c r="K14" s="115" t="s">
        <v>137</v>
      </c>
      <c r="L14" s="115" t="s">
        <v>138</v>
      </c>
      <c r="M14" s="115" t="s">
        <v>120</v>
      </c>
      <c r="N14" s="122">
        <v>2308.83</v>
      </c>
      <c r="O14" s="20">
        <f t="shared" si="2"/>
        <v>1154.415</v>
      </c>
      <c r="P14" s="122">
        <v>154.77000000000001</v>
      </c>
      <c r="Q14" s="115"/>
      <c r="R14" s="121"/>
      <c r="S14" s="121"/>
      <c r="T14" s="117">
        <v>2.6987999999999999</v>
      </c>
      <c r="U14" s="118" t="s">
        <v>123</v>
      </c>
      <c r="V14" s="119">
        <f t="shared" si="3"/>
        <v>6.2310704039999996</v>
      </c>
      <c r="W14" s="119">
        <f t="shared" si="4"/>
        <v>3.1155352019999998</v>
      </c>
      <c r="X14" s="119">
        <f t="shared" si="1"/>
        <v>0.417693276</v>
      </c>
      <c r="Y14" s="120" t="s">
        <v>118</v>
      </c>
      <c r="Z14" s="91"/>
      <c r="AA14" s="92"/>
      <c r="AB14" s="93"/>
      <c r="AC14" s="92"/>
    </row>
    <row r="15" spans="1:31" ht="29.4" thickBot="1" x14ac:dyDescent="0.35">
      <c r="A15" s="100" t="s">
        <v>91</v>
      </c>
      <c r="B15" s="101" t="s">
        <v>94</v>
      </c>
      <c r="C15" s="102"/>
      <c r="D15" s="31"/>
      <c r="E15" s="31"/>
      <c r="F15" s="31"/>
      <c r="H15" s="115" t="s">
        <v>115</v>
      </c>
      <c r="I15" s="115" t="s">
        <v>135</v>
      </c>
      <c r="J15" s="121" t="s">
        <v>136</v>
      </c>
      <c r="K15" s="115" t="s">
        <v>137</v>
      </c>
      <c r="L15" s="115" t="s">
        <v>138</v>
      </c>
      <c r="M15" s="115" t="s">
        <v>120</v>
      </c>
      <c r="N15" s="20">
        <v>928.76</v>
      </c>
      <c r="O15" s="20">
        <f t="shared" si="2"/>
        <v>464.38</v>
      </c>
      <c r="P15" s="20">
        <v>183.38</v>
      </c>
      <c r="Q15" s="115"/>
      <c r="R15" s="121"/>
      <c r="S15" s="121"/>
      <c r="T15" s="117">
        <v>2.6987999999999999</v>
      </c>
      <c r="U15" s="118" t="s">
        <v>123</v>
      </c>
      <c r="V15" s="119">
        <f t="shared" si="3"/>
        <v>2.5065374879999998</v>
      </c>
      <c r="W15" s="119">
        <f t="shared" si="4"/>
        <v>1.2532687439999999</v>
      </c>
      <c r="X15" s="119">
        <f t="shared" si="1"/>
        <v>0.49490594399999999</v>
      </c>
      <c r="Y15" s="120" t="s">
        <v>118</v>
      </c>
    </row>
    <row r="16" spans="1:31" x14ac:dyDescent="0.3">
      <c r="A16" s="14" t="s">
        <v>109</v>
      </c>
      <c r="B16" s="103">
        <f>32.93714585/2</f>
        <v>16.468572925</v>
      </c>
      <c r="C16" s="2"/>
      <c r="H16" s="115" t="s">
        <v>115</v>
      </c>
      <c r="I16" s="115" t="s">
        <v>135</v>
      </c>
      <c r="J16" s="121" t="s">
        <v>136</v>
      </c>
      <c r="K16" s="115" t="s">
        <v>137</v>
      </c>
      <c r="L16" s="115" t="s">
        <v>138</v>
      </c>
      <c r="M16" s="121" t="s">
        <v>143</v>
      </c>
      <c r="N16" s="20">
        <v>291.54000000000002</v>
      </c>
      <c r="O16" s="20">
        <f t="shared" si="2"/>
        <v>145.77000000000001</v>
      </c>
      <c r="P16" s="20"/>
      <c r="Q16" s="115"/>
      <c r="R16" s="121"/>
      <c r="S16" s="121"/>
      <c r="T16" s="117">
        <v>2.6987999999999999</v>
      </c>
      <c r="U16" s="118" t="s">
        <v>123</v>
      </c>
      <c r="V16" s="119">
        <f t="shared" si="3"/>
        <v>0.78680815200000009</v>
      </c>
      <c r="W16" s="119">
        <f t="shared" si="4"/>
        <v>0.39340407600000005</v>
      </c>
      <c r="X16" s="119"/>
      <c r="Y16" s="120" t="s">
        <v>118</v>
      </c>
    </row>
    <row r="17" spans="1:31" ht="15" thickBot="1" x14ac:dyDescent="0.35">
      <c r="A17" s="14" t="s">
        <v>139</v>
      </c>
      <c r="B17" s="103">
        <f>8.93781432/2</f>
        <v>4.4689071599999997</v>
      </c>
      <c r="C17" s="2"/>
      <c r="H17" s="115" t="s">
        <v>115</v>
      </c>
      <c r="I17" s="115" t="s">
        <v>135</v>
      </c>
      <c r="J17" s="121" t="s">
        <v>136</v>
      </c>
      <c r="K17" s="115" t="s">
        <v>137</v>
      </c>
      <c r="L17" s="115" t="s">
        <v>138</v>
      </c>
      <c r="M17" s="121" t="s">
        <v>144</v>
      </c>
      <c r="N17" s="122">
        <v>3608.78</v>
      </c>
      <c r="O17" s="20">
        <f>N17/2</f>
        <v>1804.39</v>
      </c>
      <c r="P17" s="122">
        <v>695.2</v>
      </c>
      <c r="Q17" s="115"/>
      <c r="R17" s="121"/>
      <c r="S17" s="121"/>
      <c r="T17" s="117">
        <v>2.3397000000000001</v>
      </c>
      <c r="U17" s="118" t="s">
        <v>123</v>
      </c>
      <c r="V17" s="119">
        <f t="shared" si="3"/>
        <v>8.4434625660000009</v>
      </c>
      <c r="W17" s="119">
        <f t="shared" si="4"/>
        <v>4.2217312830000004</v>
      </c>
      <c r="X17" s="119">
        <f>IF(L17="Fuel-based", P17*T17/1000,IF(L17="Distance-based",Q17*T17/1000,R17*T17/1000))</f>
        <v>1.6265594400000003</v>
      </c>
      <c r="Y17" s="120" t="s">
        <v>118</v>
      </c>
    </row>
    <row r="18" spans="1:31" ht="15" thickBot="1" x14ac:dyDescent="0.35">
      <c r="A18" s="11" t="s">
        <v>140</v>
      </c>
      <c r="B18" s="104"/>
      <c r="C18" s="105" t="s">
        <v>86</v>
      </c>
      <c r="H18" s="90"/>
      <c r="I18" s="90"/>
      <c r="K18" s="90"/>
      <c r="L18" s="90"/>
      <c r="N18" s="124" t="s">
        <v>150</v>
      </c>
      <c r="O18" s="124">
        <f>SUM(O9:O15)</f>
        <v>4083.27</v>
      </c>
      <c r="P18" s="124">
        <f>SUM(P9:P15)</f>
        <v>1546.87</v>
      </c>
      <c r="Q18" s="90"/>
      <c r="T18" s="123"/>
      <c r="U18" s="88"/>
      <c r="V18" s="124" t="s">
        <v>150</v>
      </c>
      <c r="W18" s="133">
        <f>SUM(W9:W15)</f>
        <v>11.019929075999999</v>
      </c>
      <c r="X18" s="133">
        <f>SUM(X9:X15)</f>
        <v>4.1746927559999998</v>
      </c>
      <c r="Y18" s="89"/>
    </row>
    <row r="19" spans="1:31" ht="15" thickBot="1" x14ac:dyDescent="0.35">
      <c r="A19" s="16" t="s">
        <v>141</v>
      </c>
      <c r="B19" s="5"/>
      <c r="C19" s="106" t="s">
        <v>142</v>
      </c>
      <c r="H19" s="90"/>
      <c r="I19" s="90"/>
      <c r="K19" s="90"/>
      <c r="L19" s="90"/>
      <c r="N19" s="124" t="s">
        <v>151</v>
      </c>
      <c r="O19" s="124">
        <f>SUM(O17)</f>
        <v>1804.39</v>
      </c>
      <c r="P19" s="124">
        <f>SUM(P17)</f>
        <v>695.2</v>
      </c>
      <c r="Q19" s="90"/>
      <c r="T19" s="123"/>
      <c r="U19" s="88"/>
      <c r="V19" s="124" t="s">
        <v>151</v>
      </c>
      <c r="W19" s="133">
        <f>W17</f>
        <v>4.2217312830000004</v>
      </c>
      <c r="X19" s="133">
        <f>X17</f>
        <v>1.6265594400000003</v>
      </c>
      <c r="Y19" s="89"/>
    </row>
    <row r="24" spans="1:31" x14ac:dyDescent="0.3">
      <c r="I24"/>
    </row>
    <row r="25" spans="1:31" ht="15" thickBot="1" x14ac:dyDescent="0.35">
      <c r="I25"/>
      <c r="K25" s="107"/>
      <c r="N25" s="108"/>
      <c r="O25" s="108"/>
      <c r="P25" s="108"/>
    </row>
    <row r="26" spans="1:31" ht="14.4" customHeight="1" x14ac:dyDescent="0.3">
      <c r="A26" s="193" t="s">
        <v>195</v>
      </c>
      <c r="B26" s="194"/>
      <c r="C26" s="195"/>
      <c r="D26" s="110"/>
      <c r="E26" s="110"/>
      <c r="F26" s="110"/>
      <c r="I26"/>
    </row>
    <row r="27" spans="1:31" ht="28.8" x14ac:dyDescent="0.3">
      <c r="A27" s="171" t="s">
        <v>91</v>
      </c>
      <c r="B27" s="172" t="s">
        <v>198</v>
      </c>
      <c r="C27" s="173" t="s">
        <v>197</v>
      </c>
      <c r="D27" s="172" t="s">
        <v>199</v>
      </c>
      <c r="I27"/>
    </row>
    <row r="28" spans="1:31" x14ac:dyDescent="0.3">
      <c r="A28" s="14" t="s">
        <v>109</v>
      </c>
      <c r="B28" s="103">
        <f>32.93714585/2</f>
        <v>16.468572925</v>
      </c>
      <c r="C28" s="169">
        <v>5.8012521960000001</v>
      </c>
      <c r="D28" s="174">
        <f>(B28-C28)/B28</f>
        <v>0.64773801455538083</v>
      </c>
      <c r="I28"/>
    </row>
    <row r="29" spans="1:31" ht="15" thickBot="1" x14ac:dyDescent="0.35">
      <c r="A29" s="16" t="s">
        <v>196</v>
      </c>
      <c r="B29" s="137">
        <f>8.93781432/2</f>
        <v>4.4689071599999997</v>
      </c>
      <c r="C29" s="170">
        <v>6.5107840796999996</v>
      </c>
      <c r="D29" s="174">
        <f>(B29-C29)/B29</f>
        <v>-0.45690743767879038</v>
      </c>
      <c r="I29"/>
    </row>
    <row r="30" spans="1:31" x14ac:dyDescent="0.3">
      <c r="A30" t="s">
        <v>21</v>
      </c>
      <c r="B30" s="103">
        <f>SUM(B28:B29)</f>
        <v>20.937480085000001</v>
      </c>
      <c r="C30" s="103">
        <f>SUM(C28:C29)</f>
        <v>12.312036275699999</v>
      </c>
      <c r="D30" s="174">
        <f>(B30-C30)/B30</f>
        <v>0.41196188721294258</v>
      </c>
      <c r="I30"/>
    </row>
    <row r="31" spans="1:31" x14ac:dyDescent="0.3">
      <c r="A31" s="31"/>
      <c r="B31" s="31"/>
      <c r="I31"/>
    </row>
    <row r="32" spans="1:31" s="31" customFormat="1" x14ac:dyDescent="0.3">
      <c r="C32"/>
      <c r="D32"/>
      <c r="E32"/>
      <c r="F32"/>
      <c r="G32"/>
      <c r="I32"/>
      <c r="T32"/>
      <c r="U32"/>
      <c r="V32"/>
      <c r="W32"/>
      <c r="X32"/>
      <c r="Y32"/>
      <c r="Z32"/>
      <c r="AA32"/>
      <c r="AB32"/>
      <c r="AC32"/>
      <c r="AD32"/>
      <c r="AE32"/>
    </row>
    <row r="33" spans="1:31" s="31" customFormat="1" x14ac:dyDescent="0.3">
      <c r="A33"/>
      <c r="B33"/>
      <c r="C33"/>
      <c r="D33"/>
      <c r="E33"/>
      <c r="F33"/>
      <c r="G33"/>
      <c r="I33"/>
      <c r="T33"/>
      <c r="U33"/>
      <c r="V33"/>
      <c r="W33"/>
      <c r="X33"/>
      <c r="Y33"/>
      <c r="Z33"/>
      <c r="AA33"/>
      <c r="AB33"/>
      <c r="AC33"/>
      <c r="AD33"/>
      <c r="AE33"/>
    </row>
    <row r="34" spans="1:31" s="31" customFormat="1" x14ac:dyDescent="0.3">
      <c r="A34"/>
      <c r="B34"/>
      <c r="C34"/>
      <c r="D34"/>
      <c r="E34"/>
      <c r="F34"/>
      <c r="G34"/>
      <c r="I34"/>
      <c r="T34"/>
      <c r="U34"/>
      <c r="V34"/>
      <c r="W34"/>
      <c r="X34"/>
      <c r="Y34"/>
      <c r="Z34"/>
      <c r="AA34"/>
      <c r="AB34"/>
      <c r="AC34"/>
      <c r="AD34"/>
      <c r="AE34"/>
    </row>
    <row r="35" spans="1:31" s="31" customFormat="1" x14ac:dyDescent="0.3">
      <c r="A35"/>
      <c r="B35"/>
      <c r="C35"/>
      <c r="D35"/>
      <c r="E35"/>
      <c r="F35"/>
      <c r="G35"/>
      <c r="I35"/>
      <c r="T35"/>
      <c r="U35"/>
      <c r="V35"/>
      <c r="W35"/>
      <c r="X35"/>
      <c r="Y35"/>
      <c r="Z35"/>
      <c r="AA35"/>
      <c r="AB35"/>
      <c r="AC35"/>
      <c r="AD35"/>
      <c r="AE35"/>
    </row>
    <row r="36" spans="1:31" s="31" customFormat="1" x14ac:dyDescent="0.3">
      <c r="A36"/>
      <c r="B36"/>
      <c r="C36"/>
      <c r="D36"/>
      <c r="E36"/>
      <c r="F36"/>
      <c r="G36"/>
      <c r="I36"/>
      <c r="T36"/>
      <c r="U36"/>
      <c r="V36"/>
      <c r="W36"/>
      <c r="X36"/>
      <c r="Y36"/>
      <c r="Z36"/>
      <c r="AA36"/>
      <c r="AB36"/>
      <c r="AC36"/>
      <c r="AD36"/>
      <c r="AE36"/>
    </row>
    <row r="37" spans="1:31" s="31" customFormat="1" x14ac:dyDescent="0.3">
      <c r="A37"/>
      <c r="B37"/>
      <c r="C37"/>
      <c r="D37"/>
      <c r="E37"/>
      <c r="F37"/>
      <c r="G37"/>
      <c r="I37"/>
      <c r="T37"/>
      <c r="U37"/>
      <c r="V37"/>
      <c r="W37"/>
      <c r="X37"/>
      <c r="Y37"/>
      <c r="Z37"/>
      <c r="AA37"/>
      <c r="AB37"/>
      <c r="AC37"/>
      <c r="AD37"/>
      <c r="AE37"/>
    </row>
    <row r="38" spans="1:31" s="31" customFormat="1" x14ac:dyDescent="0.3">
      <c r="A38"/>
      <c r="B38"/>
      <c r="C38"/>
      <c r="D38"/>
      <c r="E38"/>
      <c r="F38"/>
      <c r="G38"/>
      <c r="I38"/>
      <c r="T38"/>
      <c r="U38"/>
      <c r="V38"/>
      <c r="W38"/>
      <c r="X38"/>
      <c r="Y38"/>
      <c r="Z38"/>
      <c r="AA38"/>
      <c r="AB38"/>
      <c r="AC38"/>
      <c r="AD38"/>
      <c r="AE38"/>
    </row>
  </sheetData>
  <mergeCells count="7">
    <mergeCell ref="A26:C26"/>
    <mergeCell ref="A14:F14"/>
    <mergeCell ref="A1:F1"/>
    <mergeCell ref="H1:U1"/>
    <mergeCell ref="A7:F7"/>
    <mergeCell ref="H7:Y7"/>
    <mergeCell ref="O2:P5"/>
  </mergeCells>
  <dataValidations count="1">
    <dataValidation type="list" allowBlank="1" showErrorMessage="1" sqref="L9:L19" xr:uid="{D4D34F7D-9164-4B20-B12F-2F9558DA53E7}">
      <formula1>"Fuel-based,Distance-based,Spend-based"</formula1>
    </dataValidation>
  </dataValidations>
  <hyperlinks>
    <hyperlink ref="T3" r:id="rId1" xr:uid="{5E566C0E-3313-477D-8BF5-07F09B89E997}"/>
    <hyperlink ref="T4" r:id="rId2" xr:uid="{16AA67CC-9DC4-450A-94D7-86B27B4CA4D9}"/>
    <hyperlink ref="T5" r:id="rId3" xr:uid="{E4010F1B-5831-4A8C-AEAA-1254684F76B6}"/>
    <hyperlink ref="Y9" r:id="rId4" xr:uid="{83E59AC9-E78C-472A-885C-3D4E5D28CA97}"/>
    <hyperlink ref="Y10" r:id="rId5" xr:uid="{C953F060-86A4-4952-9BFB-92CE1AB023CF}"/>
    <hyperlink ref="Y11" r:id="rId6" xr:uid="{6E5238DD-53B4-436E-BBB8-B7DD196CFD68}"/>
    <hyperlink ref="Y12" r:id="rId7" xr:uid="{3C63E0CE-7E3F-4270-815A-46F83DAF426D}"/>
    <hyperlink ref="Y13" r:id="rId8" xr:uid="{E78E0E47-0B1C-480F-8AA3-AD318CB57427}"/>
    <hyperlink ref="Y14" r:id="rId9" xr:uid="{20A3F465-7F54-4274-B245-AD3A6CDDF801}"/>
    <hyperlink ref="Y15" r:id="rId10" xr:uid="{4720A481-C57D-4FE7-91DE-2772FECA5CED}"/>
    <hyperlink ref="Y16" r:id="rId11" xr:uid="{207D1275-F712-4AA7-BCA0-AD7AAFC832A8}"/>
    <hyperlink ref="Y17" r:id="rId12" xr:uid="{4DD3033C-00BB-45D9-BF6A-0B41A0469FFA}"/>
  </hyperlinks>
  <pageMargins left="0.7" right="0.7" top="0.75" bottom="0.75" header="0.3" footer="0.3"/>
  <pageSetup paperSize="9" orientation="portrait" r:id="rId13"/>
  <drawing r:id="rId1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55B21F-E560-49D7-9431-83D1150B9FF8}">
  <dimension ref="A1:V29"/>
  <sheetViews>
    <sheetView topLeftCell="B1" zoomScale="85" zoomScaleNormal="85" workbookViewId="0">
      <selection activeCell="K17" sqref="K17"/>
    </sheetView>
  </sheetViews>
  <sheetFormatPr defaultRowHeight="14.4" x14ac:dyDescent="0.3"/>
  <cols>
    <col min="3" max="3" width="9.6640625" customWidth="1"/>
    <col min="6" max="8" width="10.109375" customWidth="1"/>
    <col min="9" max="9" width="14.109375" customWidth="1"/>
    <col min="14" max="14" width="12.88671875" customWidth="1"/>
    <col min="15" max="15" width="13.44140625" bestFit="1" customWidth="1"/>
    <col min="16" max="16" width="13.44140625" customWidth="1"/>
    <col min="20" max="20" width="25" customWidth="1"/>
    <col min="21" max="21" width="14.6640625" bestFit="1" customWidth="1"/>
    <col min="22" max="22" width="16.109375" customWidth="1"/>
  </cols>
  <sheetData>
    <row r="1" spans="1:22" ht="47.25" customHeight="1" thickBot="1" x14ac:dyDescent="0.35">
      <c r="A1" s="178" t="s">
        <v>27</v>
      </c>
      <c r="B1" s="219"/>
      <c r="C1" s="219"/>
      <c r="D1" s="219"/>
      <c r="E1" s="179"/>
      <c r="F1" s="29" t="s">
        <v>161</v>
      </c>
      <c r="G1" s="30"/>
      <c r="H1" s="30"/>
      <c r="I1" s="215" t="s">
        <v>28</v>
      </c>
      <c r="J1" s="217"/>
      <c r="K1" s="216"/>
      <c r="L1" s="215" t="s">
        <v>158</v>
      </c>
      <c r="M1" s="217"/>
      <c r="N1" s="216"/>
      <c r="O1" s="215" t="s">
        <v>29</v>
      </c>
      <c r="P1" s="216"/>
      <c r="T1" s="215" t="s">
        <v>157</v>
      </c>
      <c r="U1" s="217"/>
      <c r="V1" s="216"/>
    </row>
    <row r="2" spans="1:22" ht="15" thickBot="1" x14ac:dyDescent="0.35">
      <c r="A2" s="11" t="s">
        <v>35</v>
      </c>
      <c r="B2" s="10" t="s">
        <v>36</v>
      </c>
      <c r="C2" s="12" t="s">
        <v>37</v>
      </c>
      <c r="D2" s="13" t="s">
        <v>38</v>
      </c>
      <c r="E2" s="17" t="s">
        <v>39</v>
      </c>
      <c r="F2" s="180">
        <v>2024</v>
      </c>
      <c r="G2" s="218"/>
      <c r="H2" s="33"/>
      <c r="I2" s="8">
        <v>2024</v>
      </c>
      <c r="J2" s="32"/>
      <c r="L2" s="14" t="s">
        <v>40</v>
      </c>
      <c r="M2" s="15"/>
      <c r="O2" s="11" t="s">
        <v>41</v>
      </c>
      <c r="P2" s="17"/>
      <c r="T2" s="29" t="s">
        <v>42</v>
      </c>
      <c r="U2" s="30"/>
      <c r="V2" s="34"/>
    </row>
    <row r="3" spans="1:22" x14ac:dyDescent="0.3">
      <c r="A3" s="14">
        <v>1</v>
      </c>
      <c r="B3" t="s">
        <v>44</v>
      </c>
      <c r="C3">
        <v>53.29</v>
      </c>
      <c r="D3" t="s">
        <v>45</v>
      </c>
      <c r="E3" s="2" t="s">
        <v>45</v>
      </c>
      <c r="F3" s="35">
        <f>SUM('Consumo energia 23 vs 24'!M6:M7)*1000</f>
        <v>3577.0370000000007</v>
      </c>
      <c r="G3" s="36" t="s">
        <v>162</v>
      </c>
      <c r="I3" s="35">
        <f>SUM('Consumo energia 23 vs 24'!J6:J7)*1000</f>
        <v>14260.210000000001</v>
      </c>
      <c r="J3" s="36" t="s">
        <v>162</v>
      </c>
      <c r="L3" s="14">
        <v>0</v>
      </c>
      <c r="M3" s="15" t="s">
        <v>46</v>
      </c>
      <c r="O3" s="35"/>
      <c r="P3" s="37" t="s">
        <v>47</v>
      </c>
      <c r="T3" s="1" t="s">
        <v>48</v>
      </c>
      <c r="U3" s="38">
        <f>SUM(D8+E8)</f>
        <v>75746.041043040008</v>
      </c>
      <c r="V3" s="39" t="s">
        <v>49</v>
      </c>
    </row>
    <row r="4" spans="1:22" ht="15" thickBot="1" x14ac:dyDescent="0.35">
      <c r="A4" s="14">
        <v>2</v>
      </c>
      <c r="B4" t="s">
        <v>44</v>
      </c>
      <c r="C4">
        <v>113.79</v>
      </c>
      <c r="D4" s="40">
        <f>SUMIF($B3:$B11,"Gasolio",$C3:$C11)</f>
        <v>1546.87</v>
      </c>
      <c r="E4" s="37">
        <f>SUMIF($B3:$B11,"Benzina",$C3:$C11)</f>
        <v>695.2</v>
      </c>
      <c r="F4" s="35">
        <f>F3*I17</f>
        <v>12877.333200000003</v>
      </c>
      <c r="G4" s="36" t="s">
        <v>49</v>
      </c>
      <c r="I4" s="41">
        <f>I3/1000</f>
        <v>14.260210000000001</v>
      </c>
      <c r="J4" s="36" t="s">
        <v>30</v>
      </c>
      <c r="L4" s="42" t="s">
        <v>51</v>
      </c>
      <c r="M4" s="43"/>
      <c r="O4" s="44">
        <f>O3*O17</f>
        <v>0</v>
      </c>
      <c r="P4" s="45" t="s">
        <v>30</v>
      </c>
      <c r="T4" s="3" t="s">
        <v>52</v>
      </c>
      <c r="U4" s="46">
        <f>F4</f>
        <v>12877.333200000003</v>
      </c>
      <c r="V4" s="47" t="s">
        <v>49</v>
      </c>
    </row>
    <row r="5" spans="1:22" ht="15" thickBot="1" x14ac:dyDescent="0.35">
      <c r="A5" s="14">
        <v>3</v>
      </c>
      <c r="B5" t="s">
        <v>44</v>
      </c>
      <c r="C5">
        <v>690.23</v>
      </c>
      <c r="D5" s="48" t="s">
        <v>54</v>
      </c>
      <c r="E5" s="49" t="s">
        <v>54</v>
      </c>
      <c r="F5" s="14"/>
      <c r="I5" s="50"/>
      <c r="L5" s="51">
        <f>SUM('Consumo energia 23 vs 24'!K6:K7)*1000</f>
        <v>10020.310000000001</v>
      </c>
      <c r="M5" s="36" t="s">
        <v>46</v>
      </c>
      <c r="O5" s="14"/>
      <c r="P5" s="2"/>
      <c r="T5" s="29" t="s">
        <v>55</v>
      </c>
      <c r="U5" s="52"/>
      <c r="V5" s="34"/>
    </row>
    <row r="6" spans="1:22" x14ac:dyDescent="0.3">
      <c r="A6" s="14">
        <v>4</v>
      </c>
      <c r="B6" t="s">
        <v>44</v>
      </c>
      <c r="C6">
        <v>131.29</v>
      </c>
      <c r="D6" s="40"/>
      <c r="E6" s="37"/>
      <c r="F6" s="14"/>
      <c r="I6" s="50"/>
      <c r="L6" s="42" t="s">
        <v>40</v>
      </c>
      <c r="M6" s="43"/>
      <c r="O6" s="14"/>
      <c r="P6" s="2"/>
      <c r="T6" s="1" t="s">
        <v>57</v>
      </c>
      <c r="U6" s="38">
        <f>I4+L9</f>
        <v>24.280520000000003</v>
      </c>
      <c r="V6" s="39" t="s">
        <v>30</v>
      </c>
    </row>
    <row r="7" spans="1:22" x14ac:dyDescent="0.3">
      <c r="A7" s="14">
        <v>5</v>
      </c>
      <c r="B7" t="s">
        <v>44</v>
      </c>
      <c r="C7">
        <v>220.12</v>
      </c>
      <c r="D7" s="53" t="s">
        <v>49</v>
      </c>
      <c r="E7" s="2" t="s">
        <v>49</v>
      </c>
      <c r="F7" s="14"/>
      <c r="I7" s="50"/>
      <c r="L7" s="14">
        <f>L3/10^3</f>
        <v>0</v>
      </c>
      <c r="M7" s="36" t="s">
        <v>30</v>
      </c>
      <c r="O7" s="14"/>
      <c r="P7" s="2"/>
      <c r="T7" s="1" t="s">
        <v>59</v>
      </c>
      <c r="U7" s="38">
        <f>O4</f>
        <v>0</v>
      </c>
      <c r="V7" s="39" t="s">
        <v>30</v>
      </c>
    </row>
    <row r="8" spans="1:22" x14ac:dyDescent="0.3">
      <c r="A8" s="14">
        <v>6</v>
      </c>
      <c r="B8" t="s">
        <v>44</v>
      </c>
      <c r="C8">
        <v>154.77000000000001</v>
      </c>
      <c r="D8" s="40">
        <f>D4*M17</f>
        <v>55017.512915040003</v>
      </c>
      <c r="E8" s="37">
        <f>E4*K17</f>
        <v>20728.528128000002</v>
      </c>
      <c r="F8" s="14"/>
      <c r="I8" s="50"/>
      <c r="L8" s="42" t="s">
        <v>51</v>
      </c>
      <c r="M8" s="43"/>
      <c r="O8" s="14"/>
      <c r="P8" s="2"/>
      <c r="T8" s="1" t="s">
        <v>60</v>
      </c>
      <c r="U8" s="38">
        <f>0</f>
        <v>0</v>
      </c>
      <c r="V8" s="39" t="s">
        <v>30</v>
      </c>
    </row>
    <row r="9" spans="1:22" ht="15" thickBot="1" x14ac:dyDescent="0.35">
      <c r="A9" s="14">
        <v>7</v>
      </c>
      <c r="B9" t="s">
        <v>44</v>
      </c>
      <c r="C9">
        <v>183.38</v>
      </c>
      <c r="E9" s="2"/>
      <c r="F9" s="14"/>
      <c r="I9" s="50"/>
      <c r="L9" s="35">
        <f>L5/10^3</f>
        <v>10.020310000000002</v>
      </c>
      <c r="M9" s="36" t="s">
        <v>30</v>
      </c>
      <c r="O9" s="14"/>
      <c r="P9" s="2"/>
      <c r="T9" s="3" t="s">
        <v>61</v>
      </c>
      <c r="U9" s="46">
        <f>0</f>
        <v>0</v>
      </c>
      <c r="V9" s="47" t="s">
        <v>30</v>
      </c>
    </row>
    <row r="10" spans="1:22" ht="15" thickBot="1" x14ac:dyDescent="0.35">
      <c r="A10" s="14">
        <v>8</v>
      </c>
      <c r="B10" t="s">
        <v>44</v>
      </c>
      <c r="E10" s="2"/>
      <c r="F10" s="14"/>
      <c r="I10" s="50"/>
      <c r="L10" s="14"/>
      <c r="O10" s="14"/>
      <c r="P10" s="2"/>
      <c r="T10" s="29" t="s">
        <v>62</v>
      </c>
      <c r="U10" s="52"/>
      <c r="V10" s="34"/>
    </row>
    <row r="11" spans="1:22" ht="15" thickBot="1" x14ac:dyDescent="0.35">
      <c r="A11" s="16">
        <v>8</v>
      </c>
      <c r="B11" s="5" t="s">
        <v>63</v>
      </c>
      <c r="C11">
        <v>695.2</v>
      </c>
      <c r="D11" s="5"/>
      <c r="E11" s="6"/>
      <c r="F11" s="16"/>
      <c r="G11" s="5"/>
      <c r="H11" s="5"/>
      <c r="I11" s="54"/>
      <c r="J11" s="5"/>
      <c r="K11" s="5"/>
      <c r="L11" s="16"/>
      <c r="M11" s="5"/>
      <c r="N11" s="5"/>
      <c r="O11" s="16"/>
      <c r="P11" s="6"/>
      <c r="T11" s="1" t="s">
        <v>57</v>
      </c>
      <c r="U11" s="38">
        <f>L7</f>
        <v>0</v>
      </c>
      <c r="V11" s="39" t="s">
        <v>30</v>
      </c>
    </row>
    <row r="12" spans="1:22" ht="15" thickBot="1" x14ac:dyDescent="0.35">
      <c r="J12" s="55"/>
      <c r="T12" s="1" t="s">
        <v>59</v>
      </c>
      <c r="U12" s="38">
        <f>0</f>
        <v>0</v>
      </c>
      <c r="V12" s="39" t="s">
        <v>30</v>
      </c>
    </row>
    <row r="13" spans="1:22" ht="15" thickBot="1" x14ac:dyDescent="0.35">
      <c r="A13" s="29" t="s">
        <v>8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4"/>
      <c r="O13" s="29"/>
      <c r="P13" s="34"/>
      <c r="T13" s="1" t="s">
        <v>60</v>
      </c>
      <c r="U13" s="38">
        <f>0</f>
        <v>0</v>
      </c>
      <c r="V13" s="39" t="s">
        <v>30</v>
      </c>
    </row>
    <row r="14" spans="1:22" ht="15" thickBot="1" x14ac:dyDescent="0.35">
      <c r="A14" s="56" t="s">
        <v>64</v>
      </c>
      <c r="B14" s="57" t="s">
        <v>65</v>
      </c>
      <c r="E14" s="14" t="s">
        <v>66</v>
      </c>
      <c r="F14" s="58" t="s">
        <v>67</v>
      </c>
      <c r="G14" t="s">
        <v>68</v>
      </c>
      <c r="H14" s="2"/>
      <c r="I14" s="14" t="s">
        <v>69</v>
      </c>
      <c r="J14" s="2"/>
      <c r="K14" s="14" t="s">
        <v>70</v>
      </c>
      <c r="N14" s="2"/>
      <c r="O14" s="14" t="s">
        <v>71</v>
      </c>
      <c r="P14" s="2"/>
      <c r="T14" s="3" t="s">
        <v>61</v>
      </c>
      <c r="U14" s="46">
        <f>0</f>
        <v>0</v>
      </c>
      <c r="V14" s="47" t="s">
        <v>30</v>
      </c>
    </row>
    <row r="15" spans="1:22" ht="27" thickBot="1" x14ac:dyDescent="0.35">
      <c r="A15" s="180" t="s">
        <v>63</v>
      </c>
      <c r="B15" s="181"/>
      <c r="C15" s="181" t="s">
        <v>44</v>
      </c>
      <c r="D15" s="181"/>
      <c r="E15" s="60" t="s">
        <v>72</v>
      </c>
      <c r="F15" s="61" t="s">
        <v>73</v>
      </c>
      <c r="H15" s="2"/>
      <c r="I15" s="14"/>
      <c r="J15" s="2"/>
      <c r="K15" s="180" t="s">
        <v>63</v>
      </c>
      <c r="L15" s="181"/>
      <c r="M15" s="181"/>
      <c r="N15" s="9" t="s">
        <v>44</v>
      </c>
      <c r="O15" s="14" t="s">
        <v>74</v>
      </c>
      <c r="P15" s="2"/>
      <c r="T15" s="29" t="s">
        <v>75</v>
      </c>
      <c r="U15" s="52"/>
      <c r="V15" s="34"/>
    </row>
    <row r="16" spans="1:22" ht="15" thickBot="1" x14ac:dyDescent="0.35">
      <c r="A16" s="14">
        <v>1</v>
      </c>
      <c r="B16" t="s">
        <v>76</v>
      </c>
      <c r="C16">
        <v>1</v>
      </c>
      <c r="D16" t="s">
        <v>76</v>
      </c>
      <c r="E16" s="62" t="s">
        <v>44</v>
      </c>
      <c r="F16" s="63">
        <v>0.83499999999999996</v>
      </c>
      <c r="G16">
        <v>1</v>
      </c>
      <c r="H16" s="2" t="s">
        <v>77</v>
      </c>
      <c r="I16" s="14">
        <v>1</v>
      </c>
      <c r="J16" s="2" t="s">
        <v>46</v>
      </c>
      <c r="K16" s="56">
        <v>1</v>
      </c>
      <c r="L16" t="s">
        <v>78</v>
      </c>
      <c r="M16" s="64">
        <v>1</v>
      </c>
      <c r="N16" s="2" t="s">
        <v>78</v>
      </c>
      <c r="O16" s="14">
        <v>1</v>
      </c>
      <c r="P16" s="2" t="s">
        <v>47</v>
      </c>
      <c r="T16" s="1" t="s">
        <v>79</v>
      </c>
      <c r="U16" s="38">
        <f>SUM(U6:U9)+(SUM(U3:U4)/(I17*1000))</f>
        <v>48.898123956400006</v>
      </c>
      <c r="V16" s="39" t="s">
        <v>30</v>
      </c>
    </row>
    <row r="17" spans="1:22" ht="16.2" thickBot="1" x14ac:dyDescent="0.35">
      <c r="A17" s="16">
        <v>10500</v>
      </c>
      <c r="B17" s="5" t="s">
        <v>77</v>
      </c>
      <c r="C17" s="65">
        <v>10200</v>
      </c>
      <c r="D17" s="5" t="s">
        <v>49</v>
      </c>
      <c r="E17" s="66" t="s">
        <v>63</v>
      </c>
      <c r="F17" s="67">
        <v>0.68</v>
      </c>
      <c r="G17" s="68">
        <v>1.16E-3</v>
      </c>
      <c r="H17" s="6" t="s">
        <v>46</v>
      </c>
      <c r="I17" s="16">
        <v>3.6</v>
      </c>
      <c r="J17" s="6" t="s">
        <v>49</v>
      </c>
      <c r="K17" s="19">
        <f>(A17*F17)*G17*I17</f>
        <v>29.816640000000003</v>
      </c>
      <c r="L17" s="5" t="s">
        <v>49</v>
      </c>
      <c r="M17" s="69">
        <f>C17*F16*G17*I17</f>
        <v>35.566992000000006</v>
      </c>
      <c r="N17" s="6" t="s">
        <v>49</v>
      </c>
      <c r="O17" s="70">
        <f>10.69/10^3</f>
        <v>1.069E-2</v>
      </c>
      <c r="P17" s="6" t="s">
        <v>30</v>
      </c>
      <c r="T17" s="29" t="s">
        <v>80</v>
      </c>
      <c r="U17" s="52"/>
      <c r="V17" s="34"/>
    </row>
    <row r="18" spans="1:22" ht="15" thickBot="1" x14ac:dyDescent="0.35">
      <c r="T18" s="3" t="s">
        <v>81</v>
      </c>
      <c r="U18" s="46">
        <f>SUM(U11:U14)</f>
        <v>0</v>
      </c>
      <c r="V18" s="47" t="s">
        <v>30</v>
      </c>
    </row>
    <row r="19" spans="1:22" ht="15" thickBot="1" x14ac:dyDescent="0.35">
      <c r="O19" s="7"/>
      <c r="P19" s="7"/>
      <c r="T19" s="29" t="s">
        <v>82</v>
      </c>
      <c r="U19" s="52"/>
      <c r="V19" s="34"/>
    </row>
    <row r="20" spans="1:22" x14ac:dyDescent="0.3">
      <c r="T20" s="1" t="s">
        <v>83</v>
      </c>
      <c r="U20" s="38">
        <v>0</v>
      </c>
      <c r="V20" s="39" t="s">
        <v>84</v>
      </c>
    </row>
    <row r="21" spans="1:22" ht="15" thickBot="1" x14ac:dyDescent="0.35">
      <c r="T21" s="71" t="s">
        <v>85</v>
      </c>
      <c r="U21" s="72">
        <v>0</v>
      </c>
      <c r="V21" s="73" t="s">
        <v>86</v>
      </c>
    </row>
    <row r="22" spans="1:22" ht="15" thickBot="1" x14ac:dyDescent="0.35">
      <c r="A22" s="14"/>
      <c r="T22" s="29" t="s">
        <v>87</v>
      </c>
      <c r="U22" s="52"/>
      <c r="V22" s="34"/>
    </row>
    <row r="23" spans="1:22" x14ac:dyDescent="0.3">
      <c r="T23" s="1" t="s">
        <v>88</v>
      </c>
      <c r="U23" s="38"/>
      <c r="V23" s="39" t="s">
        <v>30</v>
      </c>
    </row>
    <row r="24" spans="1:22" ht="15" thickBot="1" x14ac:dyDescent="0.35">
      <c r="T24" s="3"/>
      <c r="U24" s="46"/>
      <c r="V24" s="39"/>
    </row>
    <row r="25" spans="1:22" ht="21" customHeight="1" thickBot="1" x14ac:dyDescent="0.35">
      <c r="T25" s="74" t="s">
        <v>89</v>
      </c>
      <c r="U25" s="52"/>
      <c r="V25" s="34"/>
    </row>
    <row r="26" spans="1:22" x14ac:dyDescent="0.3">
      <c r="T26" s="18" t="s">
        <v>88</v>
      </c>
      <c r="U26" s="75"/>
      <c r="V26" s="76"/>
    </row>
    <row r="27" spans="1:22" ht="15" thickBot="1" x14ac:dyDescent="0.35">
      <c r="T27" s="3"/>
      <c r="U27" s="46"/>
      <c r="V27" s="47"/>
    </row>
    <row r="28" spans="1:22" x14ac:dyDescent="0.3">
      <c r="T28" s="77"/>
      <c r="U28" s="77"/>
    </row>
    <row r="29" spans="1:22" x14ac:dyDescent="0.3">
      <c r="T29" s="77"/>
    </row>
  </sheetData>
  <mergeCells count="9">
    <mergeCell ref="O1:P1"/>
    <mergeCell ref="T1:V1"/>
    <mergeCell ref="F2:G2"/>
    <mergeCell ref="A15:B15"/>
    <mergeCell ref="C15:D15"/>
    <mergeCell ref="K15:M15"/>
    <mergeCell ref="A1:E1"/>
    <mergeCell ref="I1:K1"/>
    <mergeCell ref="L1:N1"/>
  </mergeCells>
  <hyperlinks>
    <hyperlink ref="B14" r:id="rId1" display="https://www.efficienzaenergetica.enea.it/glossario-efficienza-energetica/lettera-p/potere-calorifico.html" xr:uid="{C2DC2AEE-7656-4212-9A8A-E92586E62812}"/>
    <hyperlink ref="F14" r:id="rId2" xr:uid="{2607DD48-E93C-4B82-8E41-B11A21D90689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9822F-1EAB-4B39-97D3-517DACFA59F6}">
  <dimension ref="A1:S10"/>
  <sheetViews>
    <sheetView topLeftCell="G1" workbookViewId="0">
      <selection activeCell="K3" sqref="K3"/>
    </sheetView>
  </sheetViews>
  <sheetFormatPr defaultRowHeight="14.4" x14ac:dyDescent="0.3"/>
  <cols>
    <col min="1" max="5" width="16.5546875" customWidth="1"/>
    <col min="9" max="17" width="20.5546875" customWidth="1"/>
  </cols>
  <sheetData>
    <row r="1" spans="1:19" ht="15" thickBot="1" x14ac:dyDescent="0.35">
      <c r="A1" s="200" t="s">
        <v>163</v>
      </c>
      <c r="B1" s="198"/>
      <c r="C1" s="198"/>
      <c r="D1" s="198"/>
      <c r="E1" s="199"/>
      <c r="I1" s="220" t="s">
        <v>175</v>
      </c>
      <c r="J1" s="221"/>
      <c r="K1" s="221"/>
      <c r="L1" s="221"/>
      <c r="M1" s="221"/>
      <c r="N1" s="221"/>
      <c r="O1" s="221"/>
      <c r="P1" s="221"/>
      <c r="Q1" s="222"/>
    </row>
    <row r="2" spans="1:19" ht="29.4" thickBot="1" x14ac:dyDescent="0.35">
      <c r="A2" s="78" t="s">
        <v>91</v>
      </c>
      <c r="B2" s="79" t="s">
        <v>164</v>
      </c>
      <c r="C2" s="79" t="s">
        <v>93</v>
      </c>
      <c r="D2" s="79" t="s">
        <v>94</v>
      </c>
      <c r="E2" s="79" t="s">
        <v>96</v>
      </c>
      <c r="I2" s="134" t="s">
        <v>99</v>
      </c>
      <c r="J2" s="135" t="s">
        <v>100</v>
      </c>
      <c r="K2" s="136" t="s">
        <v>165</v>
      </c>
      <c r="L2" s="136" t="s">
        <v>166</v>
      </c>
      <c r="M2" s="136" t="s">
        <v>167</v>
      </c>
      <c r="N2" s="136" t="s">
        <v>168</v>
      </c>
      <c r="O2" s="136" t="s">
        <v>169</v>
      </c>
      <c r="P2" s="136" t="s">
        <v>170</v>
      </c>
      <c r="Q2" s="80" t="s">
        <v>107</v>
      </c>
    </row>
    <row r="3" spans="1:19" ht="15" thickBot="1" x14ac:dyDescent="0.35">
      <c r="A3" s="83" t="s">
        <v>171</v>
      </c>
      <c r="B3" s="84" t="s">
        <v>172</v>
      </c>
      <c r="C3" s="85" t="s">
        <v>111</v>
      </c>
      <c r="D3" s="86">
        <f>O3</f>
        <v>4.3757454385000001</v>
      </c>
      <c r="E3" s="84"/>
      <c r="I3" s="16" t="s">
        <v>114</v>
      </c>
      <c r="J3" s="5" t="s">
        <v>115</v>
      </c>
      <c r="K3" s="137">
        <f>'Calcolo per scope 2'!I3</f>
        <v>14260.210000000001</v>
      </c>
      <c r="L3" s="5">
        <v>0</v>
      </c>
      <c r="M3" s="138">
        <v>0.30685000000000001</v>
      </c>
      <c r="N3" s="138">
        <v>0.45656999999999998</v>
      </c>
      <c r="O3" s="139">
        <f>K3*M3/1000</f>
        <v>4.3757454385000001</v>
      </c>
      <c r="P3" s="139">
        <f>(K3-L3)*N3/1000</f>
        <v>6.5107840796999996</v>
      </c>
      <c r="Q3" s="94" t="s">
        <v>173</v>
      </c>
    </row>
    <row r="4" spans="1:19" ht="15" thickBot="1" x14ac:dyDescent="0.35">
      <c r="A4" s="83" t="s">
        <v>171</v>
      </c>
      <c r="B4" s="84" t="s">
        <v>174</v>
      </c>
      <c r="C4" s="85" t="s">
        <v>111</v>
      </c>
      <c r="D4" s="86">
        <f>P3</f>
        <v>6.5107840796999996</v>
      </c>
      <c r="E4" s="84"/>
      <c r="Q4" s="99"/>
    </row>
    <row r="9" spans="1:19" x14ac:dyDescent="0.3">
      <c r="K9" s="140"/>
      <c r="L9" s="141"/>
      <c r="M9" s="142"/>
      <c r="N9" s="143"/>
      <c r="O9" s="144"/>
      <c r="P9" s="144"/>
      <c r="Q9" s="109"/>
      <c r="R9" s="143"/>
      <c r="S9" s="99"/>
    </row>
    <row r="10" spans="1:19" x14ac:dyDescent="0.3">
      <c r="K10" s="145"/>
      <c r="L10" s="141"/>
      <c r="M10" s="142"/>
      <c r="N10" s="143"/>
      <c r="O10" s="144"/>
      <c r="P10" s="144"/>
      <c r="Q10" s="109"/>
      <c r="R10" s="143"/>
      <c r="S10" s="99"/>
    </row>
  </sheetData>
  <mergeCells count="2">
    <mergeCell ref="A1:E1"/>
    <mergeCell ref="I1:Q1"/>
  </mergeCells>
  <dataValidations count="1">
    <dataValidation type="list" allowBlank="1" showErrorMessage="1" sqref="N9:N10" xr:uid="{721114AE-F74F-4C0E-A8CF-1AB278B27CC1}">
      <formula1>"Location-based,Market-based"</formula1>
    </dataValidation>
  </dataValidations>
  <hyperlinks>
    <hyperlink ref="Q3" r:id="rId1" display="AIB 2020" xr:uid="{DCCEDD12-9E6E-47B4-8AD9-F9DF6B9EA7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Acqua - 5 mesi 23 vs 5 mesi 24</vt:lpstr>
      <vt:lpstr>Consumi Carta 23 vs 24</vt:lpstr>
      <vt:lpstr>Consumo energia 23 vs 24</vt:lpstr>
      <vt:lpstr>Consumo carburante 23 vs 24</vt:lpstr>
      <vt:lpstr>Calcolo per scope 2</vt:lpstr>
      <vt:lpstr>Scope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Lorenzo Faccio</dc:creator>
  <cp:lastModifiedBy>Aaron Phillips</cp:lastModifiedBy>
  <dcterms:created xsi:type="dcterms:W3CDTF">2015-06-05T18:19:34Z</dcterms:created>
  <dcterms:modified xsi:type="dcterms:W3CDTF">2024-09-03T16:19:51Z</dcterms:modified>
</cp:coreProperties>
</file>